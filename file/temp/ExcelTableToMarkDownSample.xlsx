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.IAMB\file\temp\"/>
    </mc:Choice>
  </mc:AlternateContent>
  <xr:revisionPtr revIDLastSave="0" documentId="13_ncr:1_{CD37A582-276C-4E51-8DC9-8A37773CC772}" xr6:coauthVersionLast="47" xr6:coauthVersionMax="47" xr10:uidLastSave="{00000000-0000-0000-0000-000000000000}"/>
  <bookViews>
    <workbookView xWindow="-98" yWindow="-98" windowWidth="28996" windowHeight="15675" activeTab="1" xr2:uid="{D94F812B-BC61-4A22-9692-634766FE0D40}"/>
  </bookViews>
  <sheets>
    <sheet name="Sample" sheetId="1" r:id="rId1"/>
    <sheet name="LayerDAPC" sheetId="12" r:id="rId2"/>
  </sheets>
  <definedNames>
    <definedName name="_Toc107986980" localSheetId="1">LayerDAPC!$B$9</definedName>
    <definedName name="_Toc107986980" localSheetId="0">Sample!$B$9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8" i="12" l="1"/>
  <c r="S28" i="12"/>
  <c r="U28" i="12"/>
  <c r="V28" i="12"/>
  <c r="R27" i="12"/>
  <c r="S27" i="12"/>
  <c r="U27" i="12"/>
  <c r="V27" i="12"/>
  <c r="R26" i="12"/>
  <c r="S26" i="12"/>
  <c r="U26" i="12"/>
  <c r="V26" i="12"/>
  <c r="R25" i="12"/>
  <c r="S25" i="12"/>
  <c r="U25" i="12"/>
  <c r="V25" i="12"/>
  <c r="R24" i="12"/>
  <c r="S24" i="12"/>
  <c r="U24" i="12"/>
  <c r="V24" i="12"/>
  <c r="R23" i="12"/>
  <c r="S23" i="12"/>
  <c r="U23" i="12"/>
  <c r="V23" i="12"/>
  <c r="R22" i="12"/>
  <c r="S22" i="12"/>
  <c r="U22" i="12"/>
  <c r="V22" i="12"/>
  <c r="R21" i="12"/>
  <c r="S21" i="12"/>
  <c r="U21" i="12"/>
  <c r="V21" i="12"/>
  <c r="R20" i="12"/>
  <c r="S20" i="12"/>
  <c r="U20" i="12"/>
  <c r="V20" i="12"/>
  <c r="R19" i="12"/>
  <c r="S19" i="12"/>
  <c r="U19" i="12"/>
  <c r="V19" i="12"/>
  <c r="R18" i="12"/>
  <c r="S18" i="12"/>
  <c r="U18" i="12"/>
  <c r="V18" i="12"/>
  <c r="R17" i="12"/>
  <c r="S17" i="12"/>
  <c r="U17" i="12"/>
  <c r="V17" i="12"/>
  <c r="R16" i="12"/>
  <c r="S16" i="12"/>
  <c r="U16" i="12"/>
  <c r="V16" i="12"/>
  <c r="R15" i="12"/>
  <c r="S15" i="12"/>
  <c r="U15" i="12"/>
  <c r="V15" i="12"/>
  <c r="U14" i="12"/>
  <c r="U13" i="12"/>
  <c r="U12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Q104" i="12"/>
  <c r="Q105" i="12"/>
  <c r="Q106" i="12"/>
  <c r="Q107" i="12"/>
  <c r="Q108" i="12"/>
  <c r="Q109" i="12"/>
  <c r="Q110" i="12"/>
  <c r="Q111" i="12"/>
  <c r="Q112" i="12"/>
  <c r="Q113" i="12"/>
  <c r="Q114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4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83" i="12"/>
  <c r="Q184" i="12"/>
  <c r="Q185" i="12"/>
  <c r="Q186" i="12"/>
  <c r="Q187" i="12"/>
  <c r="Q188" i="12"/>
  <c r="Q189" i="12"/>
  <c r="Q190" i="12"/>
  <c r="Q191" i="12"/>
  <c r="Q192" i="12"/>
  <c r="Q193" i="12"/>
  <c r="Q194" i="12"/>
  <c r="Q195" i="12"/>
  <c r="Q196" i="12"/>
  <c r="Q197" i="12"/>
  <c r="Q198" i="12"/>
  <c r="Q199" i="12"/>
  <c r="Q200" i="12"/>
  <c r="Q201" i="12"/>
  <c r="Q202" i="12"/>
  <c r="Q203" i="12"/>
  <c r="Q204" i="12"/>
  <c r="Q205" i="12"/>
  <c r="Q206" i="12"/>
  <c r="Q207" i="12"/>
  <c r="Q208" i="12"/>
  <c r="Q209" i="12"/>
  <c r="Q210" i="12"/>
  <c r="Q211" i="12"/>
  <c r="Q212" i="12"/>
  <c r="Q213" i="12"/>
  <c r="Q214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235" i="12"/>
  <c r="Q236" i="12"/>
  <c r="Q237" i="12"/>
  <c r="Q238" i="12"/>
  <c r="Q239" i="12"/>
  <c r="Q240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0" i="12"/>
  <c r="Q301" i="12"/>
  <c r="Q302" i="12"/>
  <c r="Q303" i="12"/>
  <c r="Q304" i="12"/>
  <c r="Q305" i="12"/>
  <c r="Q306" i="12"/>
  <c r="Q307" i="12"/>
  <c r="Q308" i="12"/>
  <c r="Q309" i="12"/>
  <c r="Q310" i="12"/>
  <c r="Q311" i="12"/>
  <c r="Q312" i="12"/>
  <c r="Q313" i="12"/>
  <c r="Q314" i="12"/>
  <c r="Q315" i="12"/>
  <c r="Q316" i="12"/>
  <c r="Q317" i="12"/>
  <c r="Q318" i="12"/>
  <c r="Q319" i="12"/>
  <c r="Q320" i="12"/>
  <c r="V103" i="12"/>
  <c r="T103" i="12"/>
  <c r="S103" i="12"/>
  <c r="R103" i="12"/>
  <c r="Q103" i="12"/>
  <c r="V102" i="12"/>
  <c r="T102" i="12"/>
  <c r="S102" i="12"/>
  <c r="R102" i="12"/>
  <c r="Q102" i="12"/>
  <c r="V101" i="12"/>
  <c r="T101" i="12"/>
  <c r="S101" i="12"/>
  <c r="R101" i="12"/>
  <c r="Q101" i="12"/>
  <c r="V100" i="12"/>
  <c r="T100" i="12"/>
  <c r="S100" i="12"/>
  <c r="R100" i="12"/>
  <c r="Q100" i="12"/>
  <c r="V99" i="12"/>
  <c r="T99" i="12"/>
  <c r="S99" i="12"/>
  <c r="R99" i="12"/>
  <c r="Q99" i="12"/>
  <c r="V98" i="12"/>
  <c r="T98" i="12"/>
  <c r="S98" i="12"/>
  <c r="R98" i="12"/>
  <c r="Q98" i="12"/>
  <c r="V97" i="12"/>
  <c r="T97" i="12"/>
  <c r="S97" i="12"/>
  <c r="R97" i="12"/>
  <c r="Q97" i="12"/>
  <c r="V96" i="12"/>
  <c r="T96" i="12"/>
  <c r="S96" i="12"/>
  <c r="R96" i="12"/>
  <c r="Q96" i="12"/>
  <c r="V95" i="12"/>
  <c r="T95" i="12"/>
  <c r="S95" i="12"/>
  <c r="R95" i="12"/>
  <c r="Q95" i="12"/>
  <c r="V94" i="12"/>
  <c r="T94" i="12"/>
  <c r="S94" i="12"/>
  <c r="R94" i="12"/>
  <c r="Q94" i="12"/>
  <c r="V93" i="12"/>
  <c r="T93" i="12"/>
  <c r="S93" i="12"/>
  <c r="R93" i="12"/>
  <c r="Q93" i="12"/>
  <c r="V92" i="12"/>
  <c r="T92" i="12"/>
  <c r="S92" i="12"/>
  <c r="R92" i="12"/>
  <c r="Q92" i="12"/>
  <c r="V91" i="12"/>
  <c r="T91" i="12"/>
  <c r="S91" i="12"/>
  <c r="R91" i="12"/>
  <c r="Q91" i="12"/>
  <c r="V90" i="12"/>
  <c r="T90" i="12"/>
  <c r="S90" i="12"/>
  <c r="R90" i="12"/>
  <c r="Q90" i="12"/>
  <c r="V89" i="12"/>
  <c r="T89" i="12"/>
  <c r="S89" i="12"/>
  <c r="R89" i="12"/>
  <c r="Q89" i="12"/>
  <c r="V88" i="12"/>
  <c r="T88" i="12"/>
  <c r="S88" i="12"/>
  <c r="R88" i="12"/>
  <c r="Q88" i="12"/>
  <c r="V87" i="12"/>
  <c r="T87" i="12"/>
  <c r="S87" i="12"/>
  <c r="R87" i="12"/>
  <c r="Q87" i="12"/>
  <c r="V86" i="12"/>
  <c r="T86" i="12"/>
  <c r="S86" i="12"/>
  <c r="R86" i="12"/>
  <c r="Q86" i="12"/>
  <c r="V85" i="12"/>
  <c r="T85" i="12"/>
  <c r="S85" i="12"/>
  <c r="R85" i="12"/>
  <c r="Q85" i="12"/>
  <c r="V84" i="12"/>
  <c r="T84" i="12"/>
  <c r="S84" i="12"/>
  <c r="R84" i="12"/>
  <c r="Q84" i="12"/>
  <c r="V83" i="12"/>
  <c r="T83" i="12"/>
  <c r="S83" i="12"/>
  <c r="R83" i="12"/>
  <c r="Q83" i="12"/>
  <c r="V82" i="12"/>
  <c r="T82" i="12"/>
  <c r="S82" i="12"/>
  <c r="R82" i="12"/>
  <c r="Q82" i="12"/>
  <c r="V81" i="12"/>
  <c r="T81" i="12"/>
  <c r="S81" i="12"/>
  <c r="R81" i="12"/>
  <c r="Q81" i="12"/>
  <c r="V80" i="12"/>
  <c r="T80" i="12"/>
  <c r="S80" i="12"/>
  <c r="R80" i="12"/>
  <c r="Q80" i="12"/>
  <c r="V79" i="12"/>
  <c r="T79" i="12"/>
  <c r="S79" i="12"/>
  <c r="R79" i="12"/>
  <c r="Q79" i="12"/>
  <c r="V78" i="12"/>
  <c r="T78" i="12"/>
  <c r="S78" i="12"/>
  <c r="R78" i="12"/>
  <c r="Q78" i="12"/>
  <c r="V77" i="12"/>
  <c r="T77" i="12"/>
  <c r="S77" i="12"/>
  <c r="R77" i="12"/>
  <c r="Q77" i="12"/>
  <c r="V76" i="12"/>
  <c r="T76" i="12"/>
  <c r="S76" i="12"/>
  <c r="R76" i="12"/>
  <c r="Q76" i="12"/>
  <c r="V75" i="12"/>
  <c r="T75" i="12"/>
  <c r="S75" i="12"/>
  <c r="R75" i="12"/>
  <c r="Q75" i="12"/>
  <c r="V74" i="12"/>
  <c r="T74" i="12"/>
  <c r="S74" i="12"/>
  <c r="R74" i="12"/>
  <c r="Q74" i="12"/>
  <c r="V73" i="12"/>
  <c r="T73" i="12"/>
  <c r="S73" i="12"/>
  <c r="R73" i="12"/>
  <c r="Q73" i="12"/>
  <c r="V72" i="12"/>
  <c r="T72" i="12"/>
  <c r="S72" i="12"/>
  <c r="R72" i="12"/>
  <c r="Q72" i="12"/>
  <c r="V71" i="12"/>
  <c r="T71" i="12"/>
  <c r="S71" i="12"/>
  <c r="R71" i="12"/>
  <c r="Q71" i="12"/>
  <c r="V70" i="12"/>
  <c r="T70" i="12"/>
  <c r="S70" i="12"/>
  <c r="R70" i="12"/>
  <c r="Q70" i="12"/>
  <c r="V69" i="12"/>
  <c r="T69" i="12"/>
  <c r="S69" i="12"/>
  <c r="R69" i="12"/>
  <c r="Q69" i="12"/>
  <c r="V68" i="12"/>
  <c r="T68" i="12"/>
  <c r="S68" i="12"/>
  <c r="R68" i="12"/>
  <c r="Q68" i="12"/>
  <c r="V67" i="12"/>
  <c r="T67" i="12"/>
  <c r="S67" i="12"/>
  <c r="R67" i="12"/>
  <c r="Q67" i="12"/>
  <c r="V66" i="12"/>
  <c r="T66" i="12"/>
  <c r="S66" i="12"/>
  <c r="R66" i="12"/>
  <c r="Q66" i="12"/>
  <c r="V65" i="12"/>
  <c r="T65" i="12"/>
  <c r="S65" i="12"/>
  <c r="R65" i="12"/>
  <c r="Q65" i="12"/>
  <c r="V64" i="12"/>
  <c r="T64" i="12"/>
  <c r="S64" i="12"/>
  <c r="R64" i="12"/>
  <c r="Q64" i="12"/>
  <c r="V63" i="12"/>
  <c r="T63" i="12"/>
  <c r="S63" i="12"/>
  <c r="R63" i="12"/>
  <c r="Q63" i="12"/>
  <c r="V62" i="12"/>
  <c r="T62" i="12"/>
  <c r="S62" i="12"/>
  <c r="R62" i="12"/>
  <c r="Q62" i="12"/>
  <c r="V61" i="12"/>
  <c r="T61" i="12"/>
  <c r="S61" i="12"/>
  <c r="R61" i="12"/>
  <c r="Q61" i="12"/>
  <c r="V60" i="12"/>
  <c r="T60" i="12"/>
  <c r="S60" i="12"/>
  <c r="R60" i="12"/>
  <c r="Q60" i="12"/>
  <c r="V59" i="12"/>
  <c r="T59" i="12"/>
  <c r="S59" i="12"/>
  <c r="R59" i="12"/>
  <c r="Q59" i="12"/>
  <c r="V58" i="12"/>
  <c r="T58" i="12"/>
  <c r="S58" i="12"/>
  <c r="R58" i="12"/>
  <c r="Q58" i="12"/>
  <c r="V57" i="12"/>
  <c r="T57" i="12"/>
  <c r="S57" i="12"/>
  <c r="R57" i="12"/>
  <c r="Q57" i="12"/>
  <c r="V56" i="12"/>
  <c r="T56" i="12"/>
  <c r="S56" i="12"/>
  <c r="R56" i="12"/>
  <c r="Q56" i="12"/>
  <c r="V55" i="12"/>
  <c r="T55" i="12"/>
  <c r="S55" i="12"/>
  <c r="R55" i="12"/>
  <c r="Q55" i="12"/>
  <c r="V54" i="12"/>
  <c r="T54" i="12"/>
  <c r="S54" i="12"/>
  <c r="R54" i="12"/>
  <c r="Q54" i="12"/>
  <c r="V53" i="12"/>
  <c r="T53" i="12"/>
  <c r="S53" i="12"/>
  <c r="R53" i="12"/>
  <c r="Q53" i="12"/>
  <c r="V52" i="12"/>
  <c r="T52" i="12"/>
  <c r="S52" i="12"/>
  <c r="R52" i="12"/>
  <c r="Q52" i="12"/>
  <c r="V51" i="12"/>
  <c r="T51" i="12"/>
  <c r="S51" i="12"/>
  <c r="R51" i="12"/>
  <c r="Q51" i="12"/>
  <c r="V50" i="12"/>
  <c r="T50" i="12"/>
  <c r="S50" i="12"/>
  <c r="R50" i="12"/>
  <c r="Q50" i="12"/>
  <c r="V49" i="12"/>
  <c r="T49" i="12"/>
  <c r="S49" i="12"/>
  <c r="R49" i="12"/>
  <c r="Q49" i="12"/>
  <c r="V48" i="12"/>
  <c r="T48" i="12"/>
  <c r="S48" i="12"/>
  <c r="R48" i="12"/>
  <c r="Q48" i="12"/>
  <c r="V47" i="12"/>
  <c r="T47" i="12"/>
  <c r="S47" i="12"/>
  <c r="R47" i="12"/>
  <c r="Q47" i="12"/>
  <c r="V46" i="12"/>
  <c r="T46" i="12"/>
  <c r="S46" i="12"/>
  <c r="R46" i="12"/>
  <c r="Q46" i="12"/>
  <c r="V45" i="12"/>
  <c r="T45" i="12"/>
  <c r="S45" i="12"/>
  <c r="R45" i="12"/>
  <c r="Q45" i="12"/>
  <c r="Q44" i="12"/>
  <c r="Q43" i="12"/>
  <c r="Q42" i="12"/>
  <c r="Q41" i="12"/>
  <c r="Q40" i="12"/>
  <c r="Q39" i="12"/>
  <c r="Q38" i="12"/>
  <c r="Q37" i="12"/>
  <c r="Q36" i="12"/>
  <c r="Q35" i="12"/>
  <c r="Q34" i="12"/>
  <c r="Q33" i="12"/>
  <c r="Q32" i="12"/>
  <c r="Q31" i="12"/>
  <c r="Q30" i="12"/>
  <c r="Q29" i="12"/>
  <c r="Q28" i="12"/>
  <c r="Q27" i="12"/>
  <c r="Q26" i="12"/>
  <c r="Q25" i="12"/>
  <c r="Q24" i="12"/>
  <c r="Q23" i="12"/>
  <c r="Q22" i="12"/>
  <c r="Q21" i="12"/>
  <c r="Q20" i="12"/>
  <c r="Q19" i="12"/>
  <c r="Q18" i="12"/>
  <c r="Q17" i="12"/>
  <c r="Q16" i="12"/>
  <c r="Q15" i="12"/>
  <c r="V14" i="12"/>
  <c r="T14" i="12"/>
  <c r="S14" i="12"/>
  <c r="R14" i="12"/>
  <c r="Q14" i="12"/>
  <c r="P14" i="12"/>
  <c r="V13" i="12"/>
  <c r="T13" i="12"/>
  <c r="S13" i="12"/>
  <c r="R13" i="12"/>
  <c r="Q13" i="12"/>
  <c r="P13" i="12"/>
  <c r="V12" i="12"/>
  <c r="T12" i="12"/>
  <c r="S12" i="12"/>
  <c r="R12" i="12"/>
  <c r="Q12" i="12"/>
  <c r="P12" i="12"/>
  <c r="V11" i="12"/>
  <c r="U11" i="12"/>
  <c r="T11" i="12"/>
  <c r="S11" i="12"/>
  <c r="R11" i="12"/>
  <c r="Q11" i="12"/>
  <c r="P11" i="12"/>
  <c r="V10" i="12"/>
  <c r="U10" i="12"/>
  <c r="T10" i="12"/>
  <c r="S10" i="12"/>
  <c r="R10" i="12"/>
  <c r="Q10" i="12"/>
  <c r="P10" i="12"/>
  <c r="V9" i="12"/>
  <c r="U9" i="12"/>
  <c r="T9" i="12"/>
  <c r="S9" i="12"/>
  <c r="R9" i="12"/>
  <c r="Q9" i="12"/>
  <c r="P9" i="12"/>
  <c r="V8" i="12"/>
  <c r="U8" i="12"/>
  <c r="T8" i="12"/>
  <c r="S8" i="12"/>
  <c r="R8" i="12"/>
  <c r="Q8" i="12"/>
  <c r="P8" i="12"/>
  <c r="V7" i="12"/>
  <c r="U7" i="12"/>
  <c r="T7" i="12"/>
  <c r="S7" i="12"/>
  <c r="R7" i="12"/>
  <c r="Q7" i="12"/>
  <c r="P7" i="12"/>
  <c r="V6" i="12"/>
  <c r="U6" i="12"/>
  <c r="T6" i="12"/>
  <c r="S6" i="12"/>
  <c r="R6" i="12"/>
  <c r="Q6" i="12"/>
  <c r="P6" i="12"/>
  <c r="V5" i="12"/>
  <c r="U5" i="12"/>
  <c r="T5" i="12"/>
  <c r="S5" i="12"/>
  <c r="R5" i="12"/>
  <c r="Q5" i="12"/>
  <c r="P5" i="12"/>
  <c r="V4" i="12"/>
  <c r="U4" i="12"/>
  <c r="T4" i="12"/>
  <c r="S4" i="12"/>
  <c r="R4" i="12"/>
  <c r="Q4" i="12"/>
  <c r="P4" i="12"/>
  <c r="V3" i="12"/>
  <c r="U3" i="12"/>
  <c r="T3" i="12"/>
  <c r="S3" i="12"/>
  <c r="R3" i="12"/>
  <c r="Q3" i="12"/>
  <c r="P3" i="12"/>
  <c r="Q3" i="1"/>
  <c r="Q29" i="1"/>
  <c r="Q30" i="1"/>
  <c r="Q31" i="1"/>
  <c r="Q32" i="1"/>
  <c r="Q33" i="1"/>
  <c r="Q34" i="1"/>
  <c r="Q35" i="1"/>
  <c r="Q36" i="1"/>
  <c r="Q37" i="1"/>
  <c r="Q38" i="1"/>
  <c r="Q17" i="1"/>
  <c r="Q18" i="1"/>
  <c r="Q19" i="1"/>
  <c r="Q20" i="1"/>
  <c r="Q21" i="1"/>
  <c r="Q22" i="1"/>
  <c r="Q23" i="1"/>
  <c r="Q24" i="1"/>
  <c r="Q25" i="1"/>
  <c r="Q26" i="1"/>
  <c r="Q27" i="1"/>
  <c r="Q28" i="1"/>
  <c r="Q15" i="1"/>
  <c r="Q16" i="1"/>
  <c r="U4" i="1"/>
  <c r="U5" i="1"/>
  <c r="U6" i="1"/>
  <c r="U7" i="1"/>
  <c r="U8" i="1"/>
  <c r="U9" i="1"/>
  <c r="U10" i="1"/>
  <c r="U11" i="1"/>
  <c r="U3" i="1"/>
  <c r="T4" i="1"/>
  <c r="T5" i="1"/>
  <c r="T6" i="1"/>
  <c r="T7" i="1"/>
  <c r="T8" i="1"/>
  <c r="T9" i="1"/>
  <c r="T10" i="1"/>
  <c r="T11" i="1"/>
  <c r="T12" i="1"/>
  <c r="T13" i="1"/>
  <c r="T1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3" i="1"/>
  <c r="V4" i="1"/>
  <c r="V3" i="1"/>
  <c r="V6" i="1"/>
  <c r="V7" i="1"/>
  <c r="V8" i="1"/>
  <c r="V9" i="1"/>
  <c r="V10" i="1"/>
  <c r="V11" i="1"/>
  <c r="V12" i="1"/>
  <c r="V13" i="1"/>
  <c r="V1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5" i="1"/>
  <c r="P4" i="1"/>
  <c r="S3" i="1"/>
  <c r="R3" i="1"/>
  <c r="S4" i="1"/>
  <c r="R4" i="1"/>
  <c r="S6" i="1"/>
  <c r="S7" i="1"/>
  <c r="S8" i="1"/>
  <c r="S9" i="1"/>
  <c r="S10" i="1"/>
  <c r="S11" i="1"/>
  <c r="S12" i="1"/>
  <c r="S13" i="1"/>
  <c r="S1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5" i="1"/>
  <c r="R5" i="1"/>
  <c r="Q4" i="1"/>
  <c r="R6" i="1"/>
  <c r="R7" i="1"/>
  <c r="R8" i="1"/>
  <c r="R9" i="1"/>
  <c r="R10" i="1"/>
  <c r="R11" i="1"/>
  <c r="R12" i="1"/>
  <c r="R13" i="1"/>
  <c r="R1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P5" i="1"/>
  <c r="P7" i="1"/>
  <c r="Q7" i="1"/>
  <c r="P45" i="1"/>
  <c r="Q45" i="1"/>
  <c r="P46" i="1"/>
  <c r="Q46" i="1"/>
  <c r="P47" i="1"/>
  <c r="Q47" i="1"/>
  <c r="P48" i="1"/>
  <c r="Q48" i="1"/>
  <c r="P49" i="1"/>
  <c r="Q49" i="1"/>
  <c r="P50" i="1"/>
  <c r="Q50" i="1"/>
  <c r="P51" i="1"/>
  <c r="Q51" i="1"/>
  <c r="P52" i="1"/>
  <c r="Q52" i="1"/>
  <c r="P53" i="1"/>
  <c r="Q53" i="1"/>
  <c r="P54" i="1"/>
  <c r="Q54" i="1"/>
  <c r="P55" i="1"/>
  <c r="Q55" i="1"/>
  <c r="P56" i="1"/>
  <c r="Q56" i="1"/>
  <c r="P57" i="1"/>
  <c r="Q57" i="1"/>
  <c r="P58" i="1"/>
  <c r="Q58" i="1"/>
  <c r="P59" i="1"/>
  <c r="Q59" i="1"/>
  <c r="P60" i="1"/>
  <c r="Q60" i="1"/>
  <c r="P61" i="1"/>
  <c r="Q61" i="1"/>
  <c r="P62" i="1"/>
  <c r="Q62" i="1"/>
  <c r="P63" i="1"/>
  <c r="Q63" i="1"/>
  <c r="P64" i="1"/>
  <c r="Q64" i="1"/>
  <c r="P65" i="1"/>
  <c r="Q65" i="1"/>
  <c r="P66" i="1"/>
  <c r="Q66" i="1"/>
  <c r="P67" i="1"/>
  <c r="Q67" i="1"/>
  <c r="P68" i="1"/>
  <c r="Q68" i="1"/>
  <c r="P69" i="1"/>
  <c r="Q69" i="1"/>
  <c r="P70" i="1"/>
  <c r="Q70" i="1"/>
  <c r="P71" i="1"/>
  <c r="Q71" i="1"/>
  <c r="P72" i="1"/>
  <c r="Q72" i="1"/>
  <c r="P73" i="1"/>
  <c r="Q73" i="1"/>
  <c r="P74" i="1"/>
  <c r="Q74" i="1"/>
  <c r="P75" i="1"/>
  <c r="Q75" i="1"/>
  <c r="P76" i="1"/>
  <c r="Q76" i="1"/>
  <c r="P77" i="1"/>
  <c r="Q77" i="1"/>
  <c r="P78" i="1"/>
  <c r="Q78" i="1"/>
  <c r="P79" i="1"/>
  <c r="Q79" i="1"/>
  <c r="P80" i="1"/>
  <c r="Q80" i="1"/>
  <c r="P81" i="1"/>
  <c r="Q81" i="1"/>
  <c r="P82" i="1"/>
  <c r="Q82" i="1"/>
  <c r="P83" i="1"/>
  <c r="Q83" i="1"/>
  <c r="P84" i="1"/>
  <c r="Q84" i="1"/>
  <c r="P85" i="1"/>
  <c r="Q85" i="1"/>
  <c r="P86" i="1"/>
  <c r="Q86" i="1"/>
  <c r="P87" i="1"/>
  <c r="Q87" i="1"/>
  <c r="P88" i="1"/>
  <c r="Q88" i="1"/>
  <c r="P89" i="1"/>
  <c r="Q89" i="1"/>
  <c r="P90" i="1"/>
  <c r="Q90" i="1"/>
  <c r="P91" i="1"/>
  <c r="Q91" i="1"/>
  <c r="P92" i="1"/>
  <c r="Q92" i="1"/>
  <c r="P93" i="1"/>
  <c r="Q93" i="1"/>
  <c r="P94" i="1"/>
  <c r="Q94" i="1"/>
  <c r="P95" i="1"/>
  <c r="Q95" i="1"/>
  <c r="P96" i="1"/>
  <c r="Q96" i="1"/>
  <c r="P97" i="1"/>
  <c r="Q97" i="1"/>
  <c r="P98" i="1"/>
  <c r="Q98" i="1"/>
  <c r="P99" i="1"/>
  <c r="Q99" i="1"/>
  <c r="P100" i="1"/>
  <c r="Q100" i="1"/>
  <c r="P101" i="1"/>
  <c r="Q101" i="1"/>
  <c r="P102" i="1"/>
  <c r="Q102" i="1"/>
  <c r="P103" i="1"/>
  <c r="Q103" i="1"/>
  <c r="Q5" i="1"/>
  <c r="Q6" i="1"/>
  <c r="Q8" i="1"/>
  <c r="Q9" i="1"/>
  <c r="Q10" i="1"/>
  <c r="Q11" i="1"/>
  <c r="Q12" i="1"/>
  <c r="Q13" i="1"/>
  <c r="Q14" i="1"/>
  <c r="P8" i="1"/>
  <c r="P9" i="1"/>
  <c r="P10" i="1"/>
  <c r="P11" i="1"/>
  <c r="P12" i="1"/>
  <c r="P13" i="1"/>
  <c r="P14" i="1"/>
  <c r="P6" i="1"/>
  <c r="P3" i="1"/>
</calcChain>
</file>

<file path=xl/sharedStrings.xml><?xml version="1.0" encoding="utf-8"?>
<sst xmlns="http://schemas.openxmlformats.org/spreadsheetml/2006/main" count="263" uniqueCount="105">
  <si>
    <t>Creación de tablas en formato .md</t>
  </si>
  <si>
    <t>Texto para dos columnas</t>
  </si>
  <si>
    <t>Texto para tres columnas</t>
  </si>
  <si>
    <t>Texto para cuatro columnas</t>
  </si>
  <si>
    <t>---</t>
  </si>
  <si>
    <t>Texto para cinco columnas</t>
  </si>
  <si>
    <t>✓</t>
  </si>
  <si>
    <t>Texto para 13 columnas</t>
  </si>
  <si>
    <t>Texto para seis columnas</t>
  </si>
  <si>
    <t>✕</t>
  </si>
  <si>
    <t>Texto para siete columnas</t>
  </si>
  <si>
    <t>A</t>
  </si>
  <si>
    <t>B</t>
  </si>
  <si>
    <t>C</t>
  </si>
  <si>
    <t>D</t>
  </si>
  <si>
    <t>Actividad</t>
  </si>
  <si>
    <t>Descripción</t>
  </si>
  <si>
    <t xml:space="preserve">1.1. Conceptos básicos de diseño asistido por computador - CAD </t>
  </si>
  <si>
    <t>Usos y aplicaciones de herramientas computacionales. Barra de menús. Comandos LINE, GRID y SNAP.</t>
  </si>
  <si>
    <t xml:space="preserve">1.2. Elementos básicos </t>
  </si>
  <si>
    <t xml:space="preserve">Coordenadas de usuario UCS. Barra de herramientas de puntos de convergencia. Comandos POLYLINE, ARC, FILLET, CHAMFER, POINT. Comandos ARRAY, MIRROR, OFFSET, DONUT, TRIM. Dibujo de la elipse, la parábola y la hipérbola. </t>
  </si>
  <si>
    <t>1.3. Bloques - Achurados- Viewports</t>
  </si>
  <si>
    <t>Diseño de bloques. Achurados. Sombra. Figuras rellenas. Mosaico de vistas. Vistas fijas — espacio modelo. Vistas flotantes — espacio papel. Comandos BLOCK, HATCHT, SOLIDS, VPORTS, MVIEW, PSPACE, VPLAYER.</t>
  </si>
  <si>
    <t xml:space="preserve">1.4. Dimensionamiento </t>
  </si>
  <si>
    <t>Dimensionamiento. Estilo de la dimensión. Acotado de líneas rectas, círculos, arcos y ángulos. Editar dimensiones. Superficies normales, inclinadas y oblicuas. Visibilidad de aristas.</t>
  </si>
  <si>
    <t>1.5. Impresión</t>
  </si>
  <si>
    <t xml:space="preserve">Espacio papel y espacio modelo. Asignación de escala. Configuración de impresora y trazadores (plotter). Configuración del trazado. Impresión. Comandos MVSETUP, PRINT, ZOOM – Scale. </t>
  </si>
  <si>
    <t xml:space="preserve">1.6. Proyecto de dibujo asistido por computadora con AutoCAD </t>
  </si>
  <si>
    <t xml:space="preserve">Layers, papel. Texto menor, texto mayor. Planos de referencia para posiciones espaciales. Limits. Coordenadas cartesianas X, Y, Z. Coordenadas relativas posicionales. Coordenadas geográficas. </t>
  </si>
  <si>
    <t>2.1. Introducción</t>
  </si>
  <si>
    <t>Sistemas de información geográfica. Fundamentos. Proyecciones y origen de coordenadas. Simbología, y estadísticas generales. Tablas relacionales.</t>
  </si>
  <si>
    <t>2.2 Definición y edición de elementos</t>
  </si>
  <si>
    <t>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</t>
  </si>
  <si>
    <t xml:space="preserve">2.3. Mapas e imágenes (QGIS, ArcGIS y otras herramientas) </t>
  </si>
  <si>
    <t>Mapas y cartografía. Elaboración de planos. Imágenes en SIG. Manejo y manipulación de imágenes. Ejercicio de aplicación (proyecto aplicado en ingeniería eléctrica).</t>
  </si>
  <si>
    <t xml:space="preserve">3.1. Introducción </t>
  </si>
  <si>
    <t>Conceptos de la metodología BIM. Generalidades del trabajo colaborativo. Taller conceptual.</t>
  </si>
  <si>
    <t>3.2 Herramientas para la aplicación de la metodología BIM. Introducción al software Revit</t>
  </si>
  <si>
    <t xml:space="preserve">Uso de plantillas (templates). Fundamentos del software Revit. Configuración de Revit (Options).    </t>
  </si>
  <si>
    <t xml:space="preserve">3.3. Creación y manipulación de elementos en Revit </t>
  </si>
  <si>
    <t>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</t>
  </si>
  <si>
    <t xml:space="preserve">3.4. Familias de Revit </t>
  </si>
  <si>
    <t>Concepto de familias de Revit. Creación de perfiles. Creación de planos de trabajo. Convertir líneas en símbolos (Convert lines) y Controles de visibilidad. Ejercicio de aplicación (proyecto aplicado en ingeniería eléctrica).</t>
  </si>
  <si>
    <t>Proyecto</t>
  </si>
  <si>
    <t>Capa - Descripción</t>
  </si>
  <si>
    <t>CAD Color</t>
  </si>
  <si>
    <t>CAD Linetype</t>
  </si>
  <si>
    <t>CAD Lineweight</t>
  </si>
  <si>
    <t>a</t>
  </si>
  <si>
    <t>Tema general o medio</t>
  </si>
  <si>
    <t>Imagen de Satélite Regional</t>
  </si>
  <si>
    <t>Imagen de Satélite Alta Resolución</t>
  </si>
  <si>
    <t>Ortofotografía Aérea</t>
  </si>
  <si>
    <t>Modelo Digital del Terreno DTM</t>
  </si>
  <si>
    <t>Modelo Digital de Superficie DSM</t>
  </si>
  <si>
    <t>Modelo Digital de Pendientes</t>
  </si>
  <si>
    <t>Modelo Hidrogeológico</t>
  </si>
  <si>
    <t>Modelo Digital de Precipitación</t>
  </si>
  <si>
    <t>Modelo Digital de Temperatura</t>
  </si>
  <si>
    <t>Modelo de Dispersión de PST Diario</t>
  </si>
  <si>
    <t>Modelo de Dispersión de PST Anual</t>
  </si>
  <si>
    <t>Modelo de Dispersión de PM10 Diario</t>
  </si>
  <si>
    <t>Modelo de Dispersión de PM10 Anual</t>
  </si>
  <si>
    <t>Modelo de Dispersión de PM2.5 Diario</t>
  </si>
  <si>
    <t>Modelo de Dispersión de PM2.5 Anual</t>
  </si>
  <si>
    <t>Modelo de Dispersión de SO2 Anual</t>
  </si>
  <si>
    <t>Modelo de Dispersión de SO2 Diario</t>
  </si>
  <si>
    <t>Modelo de Dispersión de SO2 a 3 horas</t>
  </si>
  <si>
    <t>Modelo de Dispersión de NO2 Anual</t>
  </si>
  <si>
    <t>Modelo de Dispersión de NO2 Diario</t>
  </si>
  <si>
    <t>Modelo de Dispersión de NO2 a 1 hora</t>
  </si>
  <si>
    <t>Modelo de Dispersión de O3 a 8 horas</t>
  </si>
  <si>
    <t>Modelo de Dispersión de O3 a 1 hora</t>
  </si>
  <si>
    <t>Modelo de Dispersión de CO a 8 horas</t>
  </si>
  <si>
    <t>Modelo de Dispersión de CO a 1 hora</t>
  </si>
  <si>
    <t>Modelo de Vibraciones</t>
  </si>
  <si>
    <t>Modelo de Sobrepresión de Aire</t>
  </si>
  <si>
    <t>Corresponde al mosaico de fotografías aéreas ortocorregido y/o georeferenciado, modo pancromático o multiespectral.</t>
  </si>
  <si>
    <t>Corresponde al mosaico de imágenes de satélite con resolucion espacial menor a 10 metros, ortocorregido y/o georeferenciado, modo pancromático, multiespectral o hiperespectral.</t>
  </si>
  <si>
    <t>Corresponde al mosaico de imágenes de satélite con resolucion espacial mayor o igual a 10 metros, ortocorregido y/o georeferenciado, modo pancromático, multiespectral o hiperespectral.</t>
  </si>
  <si>
    <t>Corresponde al DTM en escala de grises, donde cada celda o pixel contiene el valor de elevación en metros sobre el nivel del mar.</t>
  </si>
  <si>
    <t>Corresponde al Modelo Digital de Superficie (incluye elementos de la cobertura terrestre como por ejemplo cobertura vegetal, edificaciones, etc), en escala de grises, donde cada celda o pixel contiene el valor de elevación en metros sobre el nivel del mar.</t>
  </si>
  <si>
    <t>Corresponde a la superficie o Modelo Digital de Pendientes, en escala de grises, donde cada celda o pixel contiene el valor de pendiente en porcentaje.</t>
  </si>
  <si>
    <t>Corresponde al Modelo Hidrogeológico.</t>
  </si>
  <si>
    <t>Corresponde a la superficie o Modelo Digital de Precipitación, en escala de grises, donde cada celda o pixel contiene el valor de precipitación media multianual en mm/año.</t>
  </si>
  <si>
    <t>Corresponde a la superficie o Modelo Digital de Temperatura, en escala de grises, donde cada celda o pixel contiene el valor de temperatura media multianual en °C/año.</t>
  </si>
  <si>
    <t>Corresponde a la superficie o Modelo Digital de Dispersión de PST diario, en escala de grises, donde cada celda o pixel contiene el valor de concentración de PST.</t>
  </si>
  <si>
    <t>Corresponde a la superficie o Modelo Digital de Dispersión de PST anual, en escala de grises, donde cada celda o pixel contiene el valor de concentración de PST.</t>
  </si>
  <si>
    <t>Corresponde a la superficie o Modelo Digital de Dispersión de PM10 diario, en escala de grises, donde cada celda o pixel contiene el valor de concentración de PM10.</t>
  </si>
  <si>
    <t>Corresponde a la superficie o Modelo Digital de Dispersión de PM10 anual, en escala de grises, donde cada celda o pixel contiene el valor de concentración de PM10.</t>
  </si>
  <si>
    <t>Corresponde a la superficie o Modelo Digital de Dispersión de PM2.5 diario, en escala de grises, donde cada celda o pixel contiene el valor de concentración de PM2.5.</t>
  </si>
  <si>
    <t>Corresponde a la superficie o Modelo Digital de Dispersión de PM2.5 anual, en escala de grises, donde cada celda o pixel contiene el valor de concentración de PM2.5.</t>
  </si>
  <si>
    <t>Corresponde a la superficie o Modelo Digital de Dispersión de SO2 anual, en escala de grises, donde cada celda o pixel contiene el valor de concentración de SO2.</t>
  </si>
  <si>
    <t>Corresponde a la superficie o Modelo Digital de Dispersión de SO2 diario, en escala de grises, donde cada celda o pixel contiene el valor de concentración de SO2.</t>
  </si>
  <si>
    <t>Corresponde a la superficie o Modelo Digital de Dispersión de SO2 a tres horas, en escala de grises, donde cada celda o pixel contiene el valor de concentración de SO2.</t>
  </si>
  <si>
    <t>Corresponde a la superficie o Modelo Digital de Dispersión de NO2 anual, en escala de grises, donde cada celda o pixel contiene el valor de concentración de NO2.</t>
  </si>
  <si>
    <t>Corresponde a la superficie o Modelo Digital de Dispersión de NO2 diario, en escala de grises, donde cada celda o pixel contiene el valor de concentración de NO2.</t>
  </si>
  <si>
    <t>Corresponde a la superficie o Modelo Digital de Dispersión de NO2 a 1 hora, en escala de grises, donde cada celda o pixel contiene el valor de concentración de NO2.</t>
  </si>
  <si>
    <t>Corresponde a la superficie o Modelo Digital de Dispersión de O3 a 8 horas, en escala de grises, donde cada celda o pixel contiene el valor de concentración de O3.</t>
  </si>
  <si>
    <t>Corresponde a la superficie o Modelo Digital de Dispersión de O3 a 1 hora, en escala de grises, donde cada celda o pixel contiene el valor de concentración de O3.</t>
  </si>
  <si>
    <t>Corresponde a la superficie o Modelo Digital de Dispersión de CO a 8 horas, en escala de grises, donde cada celda o pixel contiene el valor de concentración de CO.</t>
  </si>
  <si>
    <t>Corresponde a la superficie o Modelo Digital de Dispersión de CO a 1 hora, en escala de grises, donde cada celda o pixel contiene el valor de concentración de CO.</t>
  </si>
  <si>
    <t>Corresponde a la superficie o Modelo Digital de vibraciones producidas por la actividad de las voladuras en mm/sg.</t>
  </si>
  <si>
    <t>Corresponde a la superficie o Modelo Digital de la sobre presión del aire producidas por la actividad de las voladuras en db/L.</t>
  </si>
  <si>
    <t>Ráster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</si>
</sst>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theme="1"/>
      <name val="Segoe UI Light"/>
      <family val="2"/>
    </font>
    <font>
      <sz val="11"/>
      <color theme="1"/>
      <name val="Calibri"/>
      <family val="2"/>
      <scheme val="minor"/>
    </font>
    <font>
      <sz val="10"/>
      <color theme="0" tint="-0.249977111117893"/>
      <name val="Segoe UI Light"/>
      <family val="2"/>
    </font>
    <font>
      <sz val="10"/>
      <color rgb="FFC0000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6" applyNumberFormat="0" applyAlignment="0" applyProtection="0"/>
    <xf numFmtId="0" fontId="12" fillId="6" borderId="7" applyNumberFormat="0" applyAlignment="0" applyProtection="0"/>
    <xf numFmtId="0" fontId="13" fillId="6" borderId="6" applyNumberFormat="0" applyAlignment="0" applyProtection="0"/>
    <xf numFmtId="0" fontId="14" fillId="0" borderId="8" applyNumberFormat="0" applyFill="0" applyAlignment="0" applyProtection="0"/>
    <xf numFmtId="0" fontId="15" fillId="7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0" fontId="19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1" fillId="8" borderId="10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3" fillId="0" borderId="2" xfId="0" quotePrefix="1" applyFont="1" applyBorder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top" wrapText="1"/>
    </xf>
  </cellXfs>
  <cellStyles count="43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1" xr:uid="{2D06E641-BF8A-45C3-B403-2D323D5F293E}"/>
    <cellStyle name="Note 2" xfId="42" xr:uid="{97716C7B-F92D-4DA8-BC18-20B1DF81F536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E19A4-40DE-42A8-B3E2-A2516218588C}">
  <dimension ref="B1:V103"/>
  <sheetViews>
    <sheetView showGridLines="0" zoomScale="115" zoomScaleNormal="115" workbookViewId="0">
      <pane ySplit="4" topLeftCell="A5" activePane="bottomLeft" state="frozen"/>
      <selection pane="bottomLeft" activeCell="B20" sqref="B20:D39"/>
    </sheetView>
  </sheetViews>
  <sheetFormatPr defaultColWidth="9.140625" defaultRowHeight="15.4" x14ac:dyDescent="0.55000000000000004"/>
  <cols>
    <col min="1" max="1" width="2.7109375" style="1" customWidth="1"/>
    <col min="2" max="3" width="46.140625" style="1" customWidth="1"/>
    <col min="4" max="4" width="20.640625" style="1" customWidth="1"/>
    <col min="5" max="6" width="6.640625" style="1" customWidth="1"/>
    <col min="7" max="7" width="37.42578125" style="1" customWidth="1"/>
    <col min="8" max="8" width="78.925781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x14ac:dyDescent="0.55000000000000004">
      <c r="B3" s="4" t="s">
        <v>15</v>
      </c>
      <c r="C3" s="4" t="s">
        <v>16</v>
      </c>
      <c r="D3" s="4" t="s">
        <v>43</v>
      </c>
      <c r="E3" s="4" t="s">
        <v>11</v>
      </c>
      <c r="F3" s="4" t="s">
        <v>12</v>
      </c>
      <c r="G3" s="4" t="s">
        <v>13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Actividad | Descripción |</v>
      </c>
      <c r="Q3" s="5" t="str">
        <f>_xlfn.CONCAT("| ",B3," | ",C3," | ",D3," |")</f>
        <v>| Actividad | Descripción | Proyecto |</v>
      </c>
      <c r="R3" s="5" t="str">
        <f>_xlfn.CONCAT("| ",B3," | ",C3," | ",D3," | ",E3," |")</f>
        <v>| Actividad | Descripción | Proyecto | A |</v>
      </c>
      <c r="S3" s="5" t="str">
        <f>_xlfn.CONCAT("| ",B3," | ",C3," | ",D3," | ",E3," |",F3," |")</f>
        <v>| Actividad | Descripción | Proyecto | A |B |</v>
      </c>
      <c r="T3" s="5" t="str">
        <f>_xlfn.CONCAT("| ",B3," | ",C3," | ",D3," | ",E3," |",F3," |",G3," |")</f>
        <v>| Actividad | Descripción | Proyecto | A |B |C |</v>
      </c>
      <c r="U3" s="5" t="str">
        <f>_xlfn.CONCAT("| ",B3," | ",C3," | ",D3," | ",E3," | ",F3," | ",G3," | ",H3," |")</f>
        <v>| Actividad | Descripción | Proyecto | A | B | C | D |</v>
      </c>
      <c r="V3" s="5" t="str">
        <f t="shared" ref="V3:V14" si="0">_xlfn.CONCAT("| ",B3," | ",C3," | ",D3," | ",E3," |",F3," |",G3," |",H3," |",I3," |",J3," |",K3," |",L3," |",M3," |",N3," |")</f>
        <v>| Actividad | Descripción | Proyecto | A |B |C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11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46.15" x14ac:dyDescent="0.55000000000000004">
      <c r="B5" s="5" t="s">
        <v>17</v>
      </c>
      <c r="C5" s="5" t="s">
        <v>18</v>
      </c>
      <c r="D5" s="5"/>
      <c r="E5" s="5" t="s">
        <v>6</v>
      </c>
      <c r="F5" s="5" t="s">
        <v>6</v>
      </c>
      <c r="G5" s="5"/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1.1. Conceptos básicos de diseño asistido por computador - CAD  | Usos y aplicaciones de herramientas computacionales. Barra de menús. Comandos LINE, GRID y SNAP. |</v>
      </c>
      <c r="Q5" s="5" t="str">
        <f t="shared" ref="Q5:Q38" si="3">_xlfn.CONCAT("| ",B5," | ",C5," | ",D5," |")</f>
        <v>| 1.1. Conceptos básicos de diseño asistido por computador - CAD  | Usos y aplicaciones de herramientas computacionales. Barra de menús. Comandos LINE, GRID y SNAP. |  |</v>
      </c>
      <c r="R5" s="5" t="str">
        <f>_xlfn.CONCAT("| ",B5," | ",C5," | ",D5," | ",E5," |")</f>
        <v>| 1.1. Conceptos básicos de diseño asistido por computador - CAD  | Usos y aplicaciones de herramientas computacionales. Barra de menús. Comandos LINE, GRID y SNAP. |  | ✓ |</v>
      </c>
      <c r="S5" s="5" t="str">
        <f>_xlfn.CONCAT("| ",B5," | ",C5," | ",D5," | ",E5," |",F5," |")</f>
        <v>| 1.1. Conceptos básicos de diseño asistido por computador - CAD  | Usos y aplicaciones de herramientas computacionales. Barra de menús. Comandos LINE, GRID y SNAP. |  | ✓ |✓ |</v>
      </c>
      <c r="T5" s="5" t="str">
        <f t="shared" si="1"/>
        <v>| 1.1. Conceptos básicos de diseño asistido por computador - CAD  | Usos y aplicaciones de herramientas computacionales. Barra de menús. Comandos LINE, GRID y SNAP. |  | ✓ |✓ | |</v>
      </c>
      <c r="U5" s="5" t="str">
        <f t="shared" si="2"/>
        <v>| 1.1. Conceptos básicos de diseño asistido por computador - CAD  | Usos y aplicaciones de herramientas computacionales. Barra de menús. Comandos LINE, GRID y SNAP. |  | ✓ | ✓ |  |  |</v>
      </c>
      <c r="V5" s="5" t="str">
        <f t="shared" si="0"/>
        <v>| 1.1. Conceptos básicos de diseño asistido por computador - CAD  | Usos y aplicaciones de herramientas computacionales. Barra de menús. Comandos LINE, GRID y SNAP. |  | ✓ |✓ | | | | | | | | |</v>
      </c>
    </row>
    <row r="6" spans="2:22" ht="76.900000000000006" x14ac:dyDescent="0.55000000000000004">
      <c r="B6" s="5" t="s">
        <v>19</v>
      </c>
      <c r="C6" s="5" t="s">
        <v>20</v>
      </c>
      <c r="D6" s="5"/>
      <c r="E6" s="5" t="s">
        <v>6</v>
      </c>
      <c r="F6" s="5" t="s">
        <v>9</v>
      </c>
      <c r="G6" s="5"/>
      <c r="H6" s="5"/>
      <c r="I6" s="5"/>
      <c r="J6" s="5"/>
      <c r="K6" s="5"/>
      <c r="L6" s="5"/>
      <c r="M6" s="5"/>
      <c r="N6" s="5"/>
      <c r="O6" s="5"/>
      <c r="P6" s="5" t="str">
        <f t="shared" ref="P6:P14" si="4">_xlfn.CONCAT("| ",B6," | ",C6," |")</f>
        <v>| 1.2. Elementos básicos  | Coordenadas de usuario UCS. Barra de herramientas de puntos de convergencia. Comandos POLYLINE, ARC, FILLET, CHAMFER, POINT. Comandos ARRAY, MIRROR, OFFSET, DONUT, TRIM. Dibujo de la elipse, la parábola y la hipérbola.  |</v>
      </c>
      <c r="Q6" s="5" t="str">
        <f t="shared" si="3"/>
        <v>| 1.2. Elementos básicos  | Coordenadas de usuario UCS. Barra de herramientas de puntos de convergencia. Comandos POLYLINE, ARC, FILLET, CHAMFER, POINT. Comandos ARRAY, MIRROR, OFFSET, DONUT, TRIM. Dibujo de la elipse, la parábola y la hipérbola.  |  |</v>
      </c>
      <c r="R6" s="5" t="str">
        <f t="shared" ref="R6:R67" si="5">_xlfn.CONCAT("| ",B6," | ",C6," | ",D6," | ",E6,"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</v>
      </c>
      <c r="S6" s="5" t="str">
        <f t="shared" ref="S6:S69" si="6">_xlfn.CONCAT("| ",B6," | ",C6," | ",D6," | ",E6," |",F6," |")</f>
        <v>| 1.2. Elementos básicos  | Coordenadas de usuario UCS. Barra de herramientas de puntos de convergencia. Comandos POLYLINE, ARC, FILLET, CHAMFER, POINT. Comandos ARRAY, MIRROR, OFFSET, DONUT, TRIM. Dibujo de la elipse, la parábola y la hipérbola.  |  | ✓ |✕ |</v>
      </c>
      <c r="T6" s="5" t="str">
        <f t="shared" si="1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</v>
      </c>
      <c r="U6" s="5" t="str">
        <f t="shared" si="2"/>
        <v>| 1.2. Elementos básicos  | Coordenadas de usuario UCS. Barra de herramientas de puntos de convergencia. Comandos POLYLINE, ARC, FILLET, CHAMFER, POINT. Comandos ARRAY, MIRROR, OFFSET, DONUT, TRIM. Dibujo de la elipse, la parábola y la hipérbola.  |  | ✓ | ✕ |  |  |</v>
      </c>
      <c r="V6" s="5" t="str">
        <f t="shared" si="0"/>
        <v>| 1.2. Elementos básicos  | Coordenadas de usuario UCS. Barra de herramientas de puntos de convergencia. Comandos POLYLINE, ARC, FILLET, CHAMFER, POINT. Comandos ARRAY, MIRROR, OFFSET, DONUT, TRIM. Dibujo de la elipse, la parábola y la hipérbola.  |  | ✓ |✕ | | | | | | | | |</v>
      </c>
    </row>
    <row r="7" spans="2:22" ht="76.900000000000006" x14ac:dyDescent="0.55000000000000004">
      <c r="B7" s="5" t="s">
        <v>21</v>
      </c>
      <c r="C7" s="5" t="s">
        <v>22</v>
      </c>
      <c r="D7" s="5"/>
      <c r="E7" s="5" t="s">
        <v>6</v>
      </c>
      <c r="F7" s="5" t="s">
        <v>6</v>
      </c>
      <c r="G7" s="5"/>
      <c r="H7" s="5"/>
      <c r="I7" s="5"/>
      <c r="J7" s="5"/>
      <c r="K7" s="5"/>
      <c r="L7" s="5"/>
      <c r="M7" s="5"/>
      <c r="N7" s="5"/>
      <c r="O7" s="5"/>
      <c r="P7" s="5" t="str">
        <f t="shared" si="4"/>
        <v>| 1.3. Bloques - Achurados- Viewports | Diseño de bloques. Achurados. Sombra. Figuras rellenas. Mosaico de vistas. Vistas fijas — espacio modelo. Vistas flotantes — espacio papel. Comandos BLOCK, HATCHT, SOLIDS, VPORTS, MVIEW, PSPACE, VPLAYER. |</v>
      </c>
      <c r="Q7" s="5" t="str">
        <f t="shared" si="3"/>
        <v>| 1.3. Bloques - Achurados- Viewports | Diseño de bloques. Achurados. Sombra. Figuras rellenas. Mosaico de vistas. Vistas fijas — espacio modelo. Vistas flotantes — espacio papel. Comandos BLOCK, HATCHT, SOLIDS, VPORTS, MVIEW, PSPACE, VPLAYER. |  |</v>
      </c>
      <c r="R7" s="5" t="str">
        <f t="shared" si="5"/>
        <v>| 1.3. Bloques - Achurados- Viewports | Diseño de bloques. Achurados. Sombra. Figuras rellenas. Mosaico de vistas. Vistas fijas — espacio modelo. Vistas flotantes — espacio papel. Comandos BLOCK, HATCHT, SOLIDS, VPORTS, MVIEW, PSPACE, VPLAYER. |  | ✓ |</v>
      </c>
      <c r="S7" s="5" t="str">
        <f t="shared" si="6"/>
        <v>| 1.3. Bloques - Achurados- Viewports | Diseño de bloques. Achurados. Sombra. Figuras rellenas. Mosaico de vistas. Vistas fijas — espacio modelo. Vistas flotantes — espacio papel. Comandos BLOCK, HATCHT, SOLIDS, VPORTS, MVIEW, PSPACE, VPLAYER. |  | ✓ |✓ |</v>
      </c>
      <c r="T7" s="5" t="str">
        <f t="shared" si="1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</v>
      </c>
      <c r="U7" s="5" t="str">
        <f t="shared" si="2"/>
        <v>| 1.3. Bloques - Achurados- Viewports | Diseño de bloques. Achurados. Sombra. Figuras rellenas. Mosaico de vistas. Vistas fijas — espacio modelo. Vistas flotantes — espacio papel. Comandos BLOCK, HATCHT, SOLIDS, VPORTS, MVIEW, PSPACE, VPLAYER. |  | ✓ | ✓ |  |  |</v>
      </c>
      <c r="V7" s="5" t="str">
        <f t="shared" si="0"/>
        <v>| 1.3. Bloques - Achurados- Viewports | Diseño de bloques. Achurados. Sombra. Figuras rellenas. Mosaico de vistas. Vistas fijas — espacio modelo. Vistas flotantes — espacio papel. Comandos BLOCK, HATCHT, SOLIDS, VPORTS, MVIEW, PSPACE, VPLAYER. |  | ✓ |✓ | | | | | | | | |</v>
      </c>
    </row>
    <row r="8" spans="2:22" ht="61.5" x14ac:dyDescent="0.55000000000000004">
      <c r="B8" s="5" t="s">
        <v>23</v>
      </c>
      <c r="C8" s="5" t="s">
        <v>24</v>
      </c>
      <c r="D8" s="5"/>
      <c r="E8" s="5" t="s">
        <v>6</v>
      </c>
      <c r="F8" s="5" t="s">
        <v>9</v>
      </c>
      <c r="G8" s="5"/>
      <c r="H8" s="5"/>
      <c r="I8" s="5"/>
      <c r="J8" s="5"/>
      <c r="K8" s="5"/>
      <c r="L8" s="5"/>
      <c r="M8" s="5"/>
      <c r="N8" s="5"/>
      <c r="O8" s="5"/>
      <c r="P8" s="5" t="str">
        <f t="shared" si="4"/>
        <v>| 1.4. Dimensionamiento  | Dimensionamiento. Estilo de la dimensión. Acotado de líneas rectas, círculos, arcos y ángulos. Editar dimensiones. Superficies normales, inclinadas y oblicuas. Visibilidad de aristas. |</v>
      </c>
      <c r="Q8" s="5" t="str">
        <f t="shared" si="3"/>
        <v>| 1.4. Dimensionamiento  | Dimensionamiento. Estilo de la dimensión. Acotado de líneas rectas, círculos, arcos y ángulos. Editar dimensiones. Superficies normales, inclinadas y oblicuas. Visibilidad de aristas. |  |</v>
      </c>
      <c r="R8" s="5" t="str">
        <f t="shared" si="5"/>
        <v>| 1.4. Dimensionamiento  | Dimensionamiento. Estilo de la dimensión. Acotado de líneas rectas, círculos, arcos y ángulos. Editar dimensiones. Superficies normales, inclinadas y oblicuas. Visibilidad de aristas. |  | ✓ |</v>
      </c>
      <c r="S8" s="5" t="str">
        <f t="shared" si="6"/>
        <v>| 1.4. Dimensionamiento  | Dimensionamiento. Estilo de la dimensión. Acotado de líneas rectas, círculos, arcos y ángulos. Editar dimensiones. Superficies normales, inclinadas y oblicuas. Visibilidad de aristas. |  | ✓ |✕ |</v>
      </c>
      <c r="T8" s="5" t="str">
        <f t="shared" si="1"/>
        <v>| 1.4. Dimensionamiento  | Dimensionamiento. Estilo de la dimensión. Acotado de líneas rectas, círculos, arcos y ángulos. Editar dimensiones. Superficies normales, inclinadas y oblicuas. Visibilidad de aristas. |  | ✓ |✕ | |</v>
      </c>
      <c r="U8" s="5" t="str">
        <f t="shared" si="2"/>
        <v>| 1.4. Dimensionamiento  | Dimensionamiento. Estilo de la dimensión. Acotado de líneas rectas, círculos, arcos y ángulos. Editar dimensiones. Superficies normales, inclinadas y oblicuas. Visibilidad de aristas. |  | ✓ | ✕ |  |  |</v>
      </c>
      <c r="V8" s="5" t="str">
        <f t="shared" si="0"/>
        <v>| 1.4. Dimensionamiento  | Dimensionamiento. Estilo de la dimensión. Acotado de líneas rectas, círculos, arcos y ángulos. Editar dimensiones. Superficies normales, inclinadas y oblicuas. Visibilidad de aristas. |  | ✓ |✕ | | | | | | | | |</v>
      </c>
    </row>
    <row r="9" spans="2:22" ht="61.5" x14ac:dyDescent="0.55000000000000004">
      <c r="B9" s="5" t="s">
        <v>25</v>
      </c>
      <c r="C9" s="5" t="s">
        <v>26</v>
      </c>
      <c r="D9" s="5"/>
      <c r="E9" s="5" t="s">
        <v>6</v>
      </c>
      <c r="F9" s="5" t="s">
        <v>9</v>
      </c>
      <c r="G9" s="5"/>
      <c r="H9" s="5"/>
      <c r="I9" s="5"/>
      <c r="J9" s="5"/>
      <c r="K9" s="5"/>
      <c r="L9" s="5"/>
      <c r="M9" s="5"/>
      <c r="N9" s="5"/>
      <c r="O9" s="5"/>
      <c r="P9" s="5" t="str">
        <f t="shared" si="4"/>
        <v>| 1.5. Impresión | Espacio papel y espacio modelo. Asignación de escala. Configuración de impresora y trazadores (plotter). Configuración del trazado. Impresión. Comandos MVSETUP, PRINT, ZOOM – Scale.  |</v>
      </c>
      <c r="Q9" s="5" t="str">
        <f t="shared" si="3"/>
        <v>| 1.5. Impresión | Espacio papel y espacio modelo. Asignación de escala. Configuración de impresora y trazadores (plotter). Configuración del trazado. Impresión. Comandos MVSETUP, PRINT, ZOOM – Scale.  |  |</v>
      </c>
      <c r="R9" s="5" t="str">
        <f t="shared" si="5"/>
        <v>| 1.5. Impresión | Espacio papel y espacio modelo. Asignación de escala. Configuración de impresora y trazadores (plotter). Configuración del trazado. Impresión. Comandos MVSETUP, PRINT, ZOOM – Scale.  |  | ✓ |</v>
      </c>
      <c r="S9" s="5" t="str">
        <f t="shared" si="6"/>
        <v>| 1.5. Impresión | Espacio papel y espacio modelo. Asignación de escala. Configuración de impresora y trazadores (plotter). Configuración del trazado. Impresión. Comandos MVSETUP, PRINT, ZOOM – Scale.  |  | ✓ |✕ |</v>
      </c>
      <c r="T9" s="5" t="str">
        <f t="shared" si="1"/>
        <v>| 1.5. Impresión | Espacio papel y espacio modelo. Asignación de escala. Configuración de impresora y trazadores (plotter). Configuración del trazado. Impresión. Comandos MVSETUP, PRINT, ZOOM – Scale.  |  | ✓ |✕ | |</v>
      </c>
      <c r="U9" s="5" t="str">
        <f t="shared" si="2"/>
        <v>| 1.5. Impresión | Espacio papel y espacio modelo. Asignación de escala. Configuración de impresora y trazadores (plotter). Configuración del trazado. Impresión. Comandos MVSETUP, PRINT, ZOOM – Scale.  |  | ✓ | ✕ |  |  |</v>
      </c>
      <c r="V9" s="5" t="str">
        <f t="shared" si="0"/>
        <v>| 1.5. Impresión | Espacio papel y espacio modelo. Asignación de escala. Configuración de impresora y trazadores (plotter). Configuración del trazado. Impresión. Comandos MVSETUP, PRINT, ZOOM – Scale.  |  | ✓ |✕ | | | | | | | | |</v>
      </c>
    </row>
    <row r="10" spans="2:22" ht="76.900000000000006" x14ac:dyDescent="0.55000000000000004">
      <c r="B10" s="5" t="s">
        <v>27</v>
      </c>
      <c r="C10" s="5" t="s">
        <v>28</v>
      </c>
      <c r="D10" s="5" t="s">
        <v>6</v>
      </c>
      <c r="E10" s="5" t="s">
        <v>6</v>
      </c>
      <c r="F10" s="5" t="s">
        <v>9</v>
      </c>
      <c r="G10" s="5"/>
      <c r="H10" s="5"/>
      <c r="I10" s="5"/>
      <c r="J10" s="5"/>
      <c r="K10" s="5"/>
      <c r="L10" s="5"/>
      <c r="M10" s="5"/>
      <c r="N10" s="5"/>
      <c r="O10" s="5"/>
      <c r="P10" s="5" t="str">
        <f t="shared" si="4"/>
        <v>| 1.6. Proyecto de dibujo asistido por computadora con AutoCAD  | Layers, papel. Texto menor, texto mayor. Planos de referencia para posiciones espaciales. Limits. Coordenadas cartesianas X, Y, Z. Coordenadas relativas posicionales. Coordenadas geográficas.  |</v>
      </c>
      <c r="Q10" s="5" t="str">
        <f t="shared" si="3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</v>
      </c>
      <c r="R10" s="5" t="str">
        <f t="shared" si="5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</v>
      </c>
      <c r="S10" s="5" t="str">
        <f t="shared" si="6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</v>
      </c>
      <c r="T10" s="5" t="str">
        <f t="shared" si="1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</v>
      </c>
      <c r="U10" s="5" t="str">
        <f t="shared" si="2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 ✕ |  |  |</v>
      </c>
      <c r="V10" s="5" t="str">
        <f t="shared" si="0"/>
        <v>| 1.6. Proyecto de dibujo asistido por computadora con AutoCAD  | Layers, papel. Texto menor, texto mayor. Planos de referencia para posiciones espaciales. Limits. Coordenadas cartesianas X, Y, Z. Coordenadas relativas posicionales. Coordenadas geográficas.  | ✓ | ✓ |✕ | | | | | | | | |</v>
      </c>
    </row>
    <row r="11" spans="2:22" x14ac:dyDescent="0.55000000000000004">
      <c r="B11" s="5"/>
      <c r="C11" s="5"/>
      <c r="D11" s="5"/>
      <c r="E11" s="5" t="s">
        <v>6</v>
      </c>
      <c r="F11" s="5" t="s">
        <v>6</v>
      </c>
      <c r="G11" s="5"/>
      <c r="H11" s="5"/>
      <c r="I11" s="5"/>
      <c r="J11" s="5"/>
      <c r="K11" s="5"/>
      <c r="L11" s="5"/>
      <c r="M11" s="5"/>
      <c r="N11" s="5"/>
      <c r="O11" s="5"/>
      <c r="P11" s="5" t="str">
        <f t="shared" si="4"/>
        <v>|  |  |</v>
      </c>
      <c r="Q11" s="5" t="str">
        <f t="shared" si="3"/>
        <v>|  |  |  |</v>
      </c>
      <c r="R11" s="5" t="str">
        <f t="shared" si="5"/>
        <v>|  |  |  | ✓ |</v>
      </c>
      <c r="S11" s="5" t="str">
        <f t="shared" si="6"/>
        <v>|  |  |  | ✓ |✓ |</v>
      </c>
      <c r="T11" s="5" t="str">
        <f t="shared" si="1"/>
        <v>|  |  |  | ✓ |✓ | |</v>
      </c>
      <c r="U11" s="5" t="str">
        <f t="shared" si="2"/>
        <v>|  |  |  | ✓ | ✓ |  |  |</v>
      </c>
      <c r="V11" s="5" t="str">
        <f t="shared" si="0"/>
        <v>|  |  |  | ✓ |✓ | | | | | | | | |</v>
      </c>
    </row>
    <row r="12" spans="2:22" ht="46.15" x14ac:dyDescent="0.55000000000000004">
      <c r="B12" s="5" t="s">
        <v>29</v>
      </c>
      <c r="C12" s="5" t="s">
        <v>30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 t="str">
        <f t="shared" si="4"/>
        <v>| 2.1. Introducción | Sistemas de información geográfica. Fundamentos. Proyecciones y origen de coordenadas. Simbología, y estadísticas generales. Tablas relacionales. |</v>
      </c>
      <c r="Q12" s="5" t="str">
        <f t="shared" si="3"/>
        <v>| 2.1. Introducción | Sistemas de información geográfica. Fundamentos. Proyecciones y origen de coordenadas. Simbología, y estadísticas generales. Tablas relacionales. |  |</v>
      </c>
      <c r="R12" s="5" t="str">
        <f t="shared" si="5"/>
        <v>| 2.1. Introducción | Sistemas de información geográfica. Fundamentos. Proyecciones y origen de coordenadas. Simbología, y estadísticas generales. Tablas relacionales. |  |  |</v>
      </c>
      <c r="S12" s="5" t="str">
        <f t="shared" si="6"/>
        <v>| 2.1. Introducción | Sistemas de información geográfica. Fundamentos. Proyecciones y origen de coordenadas. Simbología, y estadísticas generales. Tablas relacionales. |  |  | |</v>
      </c>
      <c r="T12" s="5" t="str">
        <f t="shared" si="1"/>
        <v>| 2.1. Introducción | Sistemas de información geográfica. Fundamentos. Proyecciones y origen de coordenadas. Simbología, y estadísticas generales. Tablas relacionales. |  |  | | |</v>
      </c>
      <c r="U12" s="5"/>
      <c r="V12" s="5" t="str">
        <f t="shared" si="0"/>
        <v>| 2.1. Introducción | Sistemas de información geográfica. Fundamentos. Proyecciones y origen de coordenadas. Simbología, y estadísticas generales. Tablas relacionales. |  |  | | | | | | | | | |</v>
      </c>
    </row>
    <row r="13" spans="2:22" ht="92.25" x14ac:dyDescent="0.55000000000000004">
      <c r="B13" s="5" t="s">
        <v>31</v>
      </c>
      <c r="C13" s="5" t="s">
        <v>32</v>
      </c>
      <c r="D13" s="5" t="s">
        <v>6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 t="str">
        <f t="shared" si="4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</v>
      </c>
      <c r="Q13" s="5" t="str">
        <f t="shared" si="3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</v>
      </c>
      <c r="R13" s="5" t="str">
        <f t="shared" si="5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</v>
      </c>
      <c r="S13" s="5" t="str">
        <f t="shared" si="6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</v>
      </c>
      <c r="T13" s="5" t="str">
        <f t="shared" si="1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</v>
      </c>
      <c r="U13" s="5"/>
      <c r="V13" s="5" t="str">
        <f t="shared" si="0"/>
        <v>| 2.2 Definición y edición de elementos | Bases de datos y su manejo en SIG. Definición de elementos de un SIG (shapes, raster, vectores, etc.). Edición de elementos. Digitalización y entrada de entidades. Creación y edición de tablas relacionales. Ejercicio de aplicación (proyecto aplicado en ingeniería eléctrica). | ✓ |  | | | | | | | | | |</v>
      </c>
    </row>
    <row r="14" spans="2:22" ht="61.5" x14ac:dyDescent="0.55000000000000004">
      <c r="B14" s="5" t="s">
        <v>33</v>
      </c>
      <c r="C14" s="5" t="s">
        <v>34</v>
      </c>
      <c r="D14" s="5" t="s">
        <v>6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 t="str">
        <f t="shared" si="4"/>
        <v>| 2.3. Mapas e imágenes (QGIS, ArcGIS y otras herramientas)  | Mapas y cartografía. Elaboración de planos. Imágenes en SIG. Manejo y manipulación de imágenes. Ejercicio de aplicación (proyecto aplicado en ingeniería eléctrica). |</v>
      </c>
      <c r="Q14" s="5" t="str">
        <f t="shared" si="3"/>
        <v>| 2.3. Mapas e imágenes (QGIS, ArcGIS y otras herramientas)  | Mapas y cartografía. Elaboración de planos. Imágenes en SIG. Manejo y manipulación de imágenes. Ejercicio de aplicación (proyecto aplicado en ingeniería eléctrica). | ✓ |</v>
      </c>
      <c r="R14" s="5" t="str">
        <f t="shared" si="5"/>
        <v>| 2.3. Mapas e imágenes (QGIS, ArcGIS y otras herramientas)  | Mapas y cartografía. Elaboración de planos. Imágenes en SIG. Manejo y manipulación de imágenes. Ejercicio de aplicación (proyecto aplicado en ingeniería eléctrica). | ✓ |  |</v>
      </c>
      <c r="S14" s="5" t="str">
        <f t="shared" si="6"/>
        <v>| 2.3. Mapas e imágenes (QGIS, ArcGIS y otras herramientas)  | Mapas y cartografía. Elaboración de planos. Imágenes en SIG. Manejo y manipulación de imágenes. Ejercicio de aplicación (proyecto aplicado en ingeniería eléctrica). | ✓ |  | |</v>
      </c>
      <c r="T14" s="5" t="str">
        <f t="shared" si="1"/>
        <v>| 2.3. Mapas e imágenes (QGIS, ArcGIS y otras herramientas)  | Mapas y cartografía. Elaboración de planos. Imágenes en SIG. Manejo y manipulación de imágenes. Ejercicio de aplicación (proyecto aplicado en ingeniería eléctrica). | ✓ |  | | |</v>
      </c>
      <c r="U14" s="5"/>
      <c r="V14" s="5" t="str">
        <f t="shared" si="0"/>
        <v>| 2.3. Mapas e imágenes (QGIS, ArcGIS y otras herramientas)  | Mapas y cartografía. Elaboración de planos. Imágenes en SIG. Manejo y manipulación de imágenes. Ejercicio de aplicación (proyecto aplicado en ingeniería eléctrica). | ✓ |  | | | | | | | | | |</v>
      </c>
    </row>
    <row r="15" spans="2:22" x14ac:dyDescent="0.55000000000000004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 t="str">
        <f t="shared" si="3"/>
        <v>|  |  |  |</v>
      </c>
      <c r="R15" s="5"/>
      <c r="S15" s="5"/>
      <c r="T15" s="5"/>
      <c r="U15" s="5"/>
      <c r="V15" s="5"/>
    </row>
    <row r="16" spans="2:22" ht="30.75" x14ac:dyDescent="0.55000000000000004">
      <c r="B16" s="5" t="s">
        <v>35</v>
      </c>
      <c r="C16" s="5" t="s">
        <v>36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 t="str">
        <f t="shared" si="3"/>
        <v>| 3.1. Introducción  | Conceptos de la metodología BIM. Generalidades del trabajo colaborativo. Taller conceptual. |  |</v>
      </c>
      <c r="R16" s="5"/>
      <c r="S16" s="5"/>
      <c r="T16" s="5"/>
      <c r="U16" s="5"/>
      <c r="V16" s="5"/>
    </row>
    <row r="17" spans="2:22" ht="46.15" x14ac:dyDescent="0.55000000000000004">
      <c r="B17" s="5" t="s">
        <v>37</v>
      </c>
      <c r="C17" s="5" t="s">
        <v>38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 t="str">
        <f t="shared" si="3"/>
        <v>| 3.2 Herramientas para la aplicación de la metodología BIM. Introducción al software Revit | Uso de plantillas (templates). Fundamentos del software Revit. Configuración de Revit (Options).     |  |</v>
      </c>
      <c r="R17" s="5"/>
      <c r="S17" s="5"/>
      <c r="T17" s="5"/>
      <c r="U17" s="5"/>
      <c r="V17" s="5"/>
    </row>
    <row r="18" spans="2:22" ht="92.25" x14ac:dyDescent="0.55000000000000004">
      <c r="B18" s="5" t="s">
        <v>39</v>
      </c>
      <c r="C18" s="5" t="s">
        <v>40</v>
      </c>
      <c r="D18" s="5" t="s">
        <v>6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 t="str">
        <f t="shared" si="3"/>
        <v>| 3.3. Creación y manipulación de elementos en Revit  | Creación de vista de plantas (Plan views), Niveles de fondo (Underlay). Control de visualización (Visibility graphics). Láminas de ploteo (Sheets). Creación de WorkSets, Creación de un archivo local y Relinquish all mine. Ejercicio de aplicación (proyecto aplicado en ingeniería eléctrica). | ✓ |</v>
      </c>
      <c r="R18" s="5"/>
      <c r="S18" s="5"/>
      <c r="T18" s="5"/>
      <c r="U18" s="5"/>
      <c r="V18" s="5"/>
    </row>
    <row r="19" spans="2:22" ht="76.900000000000006" x14ac:dyDescent="0.55000000000000004">
      <c r="B19" s="5" t="s">
        <v>41</v>
      </c>
      <c r="C19" s="5" t="s">
        <v>42</v>
      </c>
      <c r="D19" s="5" t="s">
        <v>6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 t="str">
        <f t="shared" si="3"/>
        <v>| 3.4. Familias de Revit  | Concepto de familias de Revit. Creación de perfiles. Creación de planos de trabajo. Convertir líneas en símbolos (Convert lines) y Controles de visibilidad. Ejercicio de aplicación (proyecto aplicado en ingeniería eléctrica). | ✓ |</v>
      </c>
      <c r="R19" s="5"/>
      <c r="S19" s="5"/>
      <c r="T19" s="5"/>
      <c r="U19" s="5"/>
      <c r="V19" s="5"/>
    </row>
    <row r="20" spans="2:22" x14ac:dyDescent="0.5500000000000000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 t="str">
        <f t="shared" si="3"/>
        <v>|  |  |  |</v>
      </c>
      <c r="R20" s="5"/>
      <c r="S20" s="5"/>
      <c r="T20" s="5"/>
      <c r="U20" s="5"/>
      <c r="V20" s="5"/>
    </row>
    <row r="21" spans="2:22" x14ac:dyDescent="0.5500000000000000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 t="str">
        <f t="shared" si="3"/>
        <v>|  |  |  |</v>
      </c>
      <c r="R21" s="5"/>
      <c r="S21" s="5"/>
      <c r="T21" s="5"/>
      <c r="U21" s="5"/>
      <c r="V21" s="5"/>
    </row>
    <row r="22" spans="2:22" x14ac:dyDescent="0.55000000000000004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 t="str">
        <f t="shared" si="3"/>
        <v>|  |  |  |</v>
      </c>
      <c r="R22" s="5"/>
      <c r="S22" s="5"/>
      <c r="T22" s="5"/>
      <c r="U22" s="5"/>
      <c r="V22" s="5"/>
    </row>
    <row r="23" spans="2:22" x14ac:dyDescent="0.55000000000000004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 t="str">
        <f t="shared" si="3"/>
        <v>|  |  |  |</v>
      </c>
      <c r="R23" s="5"/>
      <c r="S23" s="5"/>
      <c r="T23" s="5"/>
      <c r="U23" s="5"/>
      <c r="V23" s="5"/>
    </row>
    <row r="24" spans="2:22" x14ac:dyDescent="0.5500000000000000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 t="str">
        <f t="shared" si="3"/>
        <v>|  |  |  |</v>
      </c>
      <c r="R24" s="5"/>
      <c r="S24" s="5"/>
      <c r="T24" s="5"/>
      <c r="U24" s="5"/>
      <c r="V24" s="5"/>
    </row>
    <row r="25" spans="2:22" x14ac:dyDescent="0.55000000000000004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4"/>
      <c r="N25" s="4"/>
      <c r="O25" s="4"/>
      <c r="P25" s="5"/>
      <c r="Q25" s="5" t="str">
        <f t="shared" si="3"/>
        <v>|  |  |  |</v>
      </c>
      <c r="R25" s="5"/>
      <c r="S25" s="5"/>
      <c r="T25" s="5"/>
      <c r="U25" s="5"/>
      <c r="V25" s="5"/>
    </row>
    <row r="26" spans="2:22" x14ac:dyDescent="0.55000000000000004">
      <c r="B26" s="4"/>
      <c r="C26" s="4"/>
      <c r="D26" s="4"/>
      <c r="E26" s="4"/>
      <c r="F26" s="4"/>
      <c r="G26" s="4"/>
      <c r="H26" s="4"/>
      <c r="I26" s="4"/>
      <c r="J26" s="4"/>
      <c r="K26" s="4"/>
      <c r="L26" s="5"/>
      <c r="M26" s="4"/>
      <c r="N26" s="4"/>
      <c r="O26" s="4"/>
      <c r="P26" s="5"/>
      <c r="Q26" s="5" t="str">
        <f t="shared" si="3"/>
        <v>|  |  |  |</v>
      </c>
      <c r="R26" s="5"/>
      <c r="S26" s="5"/>
      <c r="T26" s="5"/>
      <c r="U26" s="5"/>
      <c r="V26" s="5"/>
    </row>
    <row r="27" spans="2:22" x14ac:dyDescent="0.55000000000000004">
      <c r="B27" s="4"/>
      <c r="C27" s="4"/>
      <c r="D27" s="4"/>
      <c r="E27" s="4"/>
      <c r="F27" s="4"/>
      <c r="G27" s="4"/>
      <c r="H27" s="4"/>
      <c r="I27" s="4"/>
      <c r="J27" s="4"/>
      <c r="K27" s="4"/>
      <c r="L27" s="5"/>
      <c r="M27" s="4"/>
      <c r="N27" s="4"/>
      <c r="O27" s="4"/>
      <c r="P27" s="5"/>
      <c r="Q27" s="5" t="str">
        <f t="shared" si="3"/>
        <v>|  |  |  |</v>
      </c>
      <c r="R27" s="5"/>
      <c r="S27" s="5"/>
      <c r="T27" s="5"/>
      <c r="U27" s="5"/>
      <c r="V27" s="5"/>
    </row>
    <row r="28" spans="2:22" x14ac:dyDescent="0.55000000000000004">
      <c r="B28" s="4"/>
      <c r="C28" s="4"/>
      <c r="D28" s="4"/>
      <c r="E28" s="4"/>
      <c r="F28" s="4"/>
      <c r="G28" s="4"/>
      <c r="H28" s="4"/>
      <c r="I28" s="4"/>
      <c r="J28" s="4"/>
      <c r="K28" s="4"/>
      <c r="L28" s="5"/>
      <c r="M28" s="4"/>
      <c r="N28" s="4"/>
      <c r="O28" s="4"/>
      <c r="P28" s="5"/>
      <c r="Q28" s="5" t="str">
        <f t="shared" si="3"/>
        <v>|  |  |  |</v>
      </c>
      <c r="R28" s="5"/>
      <c r="S28" s="5"/>
      <c r="T28" s="5"/>
      <c r="U28" s="5"/>
      <c r="V28" s="5"/>
    </row>
    <row r="29" spans="2:22" x14ac:dyDescent="0.55000000000000004">
      <c r="B29" s="4"/>
      <c r="C29" s="4"/>
      <c r="D29" s="4"/>
      <c r="E29" s="4"/>
      <c r="F29" s="4"/>
      <c r="G29" s="4"/>
      <c r="H29" s="4"/>
      <c r="I29" s="4"/>
      <c r="J29" s="4"/>
      <c r="K29" s="4"/>
      <c r="L29" s="5"/>
      <c r="M29" s="4"/>
      <c r="N29" s="4"/>
      <c r="O29" s="4"/>
      <c r="P29" s="5"/>
      <c r="Q29" s="5" t="str">
        <f t="shared" si="3"/>
        <v>|  |  |  |</v>
      </c>
      <c r="R29" s="5"/>
      <c r="S29" s="5"/>
      <c r="T29" s="5"/>
      <c r="U29" s="5"/>
      <c r="V29" s="5"/>
    </row>
    <row r="30" spans="2:22" x14ac:dyDescent="0.55000000000000004">
      <c r="B30" s="4"/>
      <c r="C30" s="4"/>
      <c r="D30" s="4"/>
      <c r="E30" s="4"/>
      <c r="F30" s="4"/>
      <c r="G30" s="4"/>
      <c r="H30" s="4"/>
      <c r="I30" s="4"/>
      <c r="J30" s="4"/>
      <c r="K30" s="4"/>
      <c r="L30" s="5"/>
      <c r="M30" s="4"/>
      <c r="N30" s="4"/>
      <c r="O30" s="4"/>
      <c r="P30" s="5"/>
      <c r="Q30" s="5" t="str">
        <f t="shared" si="3"/>
        <v>|  |  |  |</v>
      </c>
      <c r="R30" s="5"/>
      <c r="S30" s="5"/>
      <c r="T30" s="5"/>
      <c r="U30" s="5"/>
      <c r="V30" s="5"/>
    </row>
    <row r="31" spans="2:22" x14ac:dyDescent="0.55000000000000004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5"/>
      <c r="N31" s="5"/>
      <c r="O31" s="4"/>
      <c r="P31" s="5"/>
      <c r="Q31" s="5" t="str">
        <f t="shared" si="3"/>
        <v>|  |  |  |</v>
      </c>
      <c r="R31" s="5"/>
      <c r="S31" s="5"/>
      <c r="T31" s="5"/>
      <c r="U31" s="5"/>
      <c r="V31" s="5"/>
    </row>
    <row r="32" spans="2:22" x14ac:dyDescent="0.55000000000000004">
      <c r="B32" s="5"/>
      <c r="C32" s="4"/>
      <c r="D32" s="4"/>
      <c r="E32" s="4"/>
      <c r="F32" s="4"/>
      <c r="G32" s="4"/>
      <c r="H32" s="4"/>
      <c r="I32" s="4"/>
      <c r="J32" s="4"/>
      <c r="K32" s="4"/>
      <c r="L32" s="4"/>
      <c r="M32" s="5"/>
      <c r="N32" s="4"/>
      <c r="O32" s="4"/>
      <c r="P32" s="5"/>
      <c r="Q32" s="5" t="str">
        <f t="shared" si="3"/>
        <v>|  |  |  |</v>
      </c>
      <c r="R32" s="5"/>
      <c r="S32" s="5"/>
      <c r="T32" s="5"/>
      <c r="U32" s="5"/>
      <c r="V32" s="5"/>
    </row>
    <row r="33" spans="2:22" x14ac:dyDescent="0.55000000000000004">
      <c r="B33" s="5"/>
      <c r="C33" s="4"/>
      <c r="D33" s="4"/>
      <c r="E33" s="4"/>
      <c r="F33" s="4"/>
      <c r="G33" s="4"/>
      <c r="H33" s="4"/>
      <c r="I33" s="4"/>
      <c r="J33" s="4"/>
      <c r="K33" s="4"/>
      <c r="L33" s="4"/>
      <c r="M33" s="5"/>
      <c r="N33" s="4"/>
      <c r="O33" s="4"/>
      <c r="P33" s="5"/>
      <c r="Q33" s="5" t="str">
        <f t="shared" si="3"/>
        <v>|  |  |  |</v>
      </c>
      <c r="R33" s="5"/>
      <c r="S33" s="5"/>
      <c r="T33" s="5"/>
      <c r="U33" s="5"/>
      <c r="V33" s="5"/>
    </row>
    <row r="34" spans="2:22" x14ac:dyDescent="0.55000000000000004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5"/>
      <c r="N34" s="5"/>
      <c r="O34" s="4"/>
      <c r="P34" s="5"/>
      <c r="Q34" s="5" t="str">
        <f t="shared" si="3"/>
        <v>|  |  |  |</v>
      </c>
      <c r="R34" s="5"/>
      <c r="S34" s="5"/>
      <c r="T34" s="5"/>
      <c r="U34" s="5"/>
      <c r="V34" s="5"/>
    </row>
    <row r="35" spans="2:22" x14ac:dyDescent="0.55000000000000004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5"/>
      <c r="N35" s="4"/>
      <c r="O35" s="4"/>
      <c r="P35" s="5"/>
      <c r="Q35" s="5" t="str">
        <f t="shared" si="3"/>
        <v>|  |  |  |</v>
      </c>
      <c r="R35" s="5"/>
      <c r="S35" s="5"/>
      <c r="T35" s="5"/>
      <c r="U35" s="5"/>
      <c r="V35" s="5"/>
    </row>
    <row r="36" spans="2:22" x14ac:dyDescent="0.55000000000000004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5"/>
      <c r="N36" s="4"/>
      <c r="O36" s="4"/>
      <c r="P36" s="5"/>
      <c r="Q36" s="5" t="str">
        <f t="shared" si="3"/>
        <v>|  |  |  |</v>
      </c>
      <c r="R36" s="5"/>
      <c r="S36" s="5"/>
      <c r="T36" s="5"/>
      <c r="U36" s="5"/>
      <c r="V36" s="5"/>
    </row>
    <row r="37" spans="2:22" x14ac:dyDescent="0.55000000000000004">
      <c r="B37" s="5"/>
      <c r="C37" s="4"/>
      <c r="D37" s="4"/>
      <c r="E37" s="4"/>
      <c r="F37" s="4"/>
      <c r="G37" s="4"/>
      <c r="H37" s="4"/>
      <c r="I37" s="4"/>
      <c r="J37" s="4"/>
      <c r="K37" s="4"/>
      <c r="L37" s="4"/>
      <c r="M37" s="5"/>
      <c r="N37" s="4"/>
      <c r="O37" s="4"/>
      <c r="P37" s="5"/>
      <c r="Q37" s="5" t="str">
        <f t="shared" si="3"/>
        <v>|  |  |  |</v>
      </c>
      <c r="R37" s="5"/>
      <c r="S37" s="5"/>
      <c r="T37" s="5"/>
      <c r="U37" s="5"/>
      <c r="V37" s="5"/>
    </row>
    <row r="38" spans="2:22" x14ac:dyDescent="0.55000000000000004">
      <c r="B38" s="5"/>
      <c r="C38" s="5"/>
      <c r="D38" s="4"/>
      <c r="E38" s="5"/>
      <c r="F38" s="4"/>
      <c r="G38" s="4"/>
      <c r="H38" s="4"/>
      <c r="I38" s="4"/>
      <c r="J38" s="4"/>
      <c r="K38" s="4"/>
      <c r="L38" s="4"/>
      <c r="M38" s="5"/>
      <c r="N38" s="5"/>
      <c r="O38" s="4"/>
      <c r="P38" s="5"/>
      <c r="Q38" s="5" t="str">
        <f t="shared" si="3"/>
        <v>|  |  |  |</v>
      </c>
      <c r="R38" s="5"/>
      <c r="S38" s="5"/>
      <c r="T38" s="5"/>
      <c r="U38" s="5"/>
      <c r="V38" s="5"/>
    </row>
    <row r="39" spans="2:22" x14ac:dyDescent="0.55000000000000004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5"/>
      <c r="N39" s="5"/>
      <c r="O39" s="4"/>
      <c r="P39" s="5"/>
      <c r="Q39" s="5"/>
      <c r="R39" s="5"/>
      <c r="S39" s="5"/>
      <c r="T39" s="5"/>
      <c r="U39" s="5"/>
      <c r="V39" s="5"/>
    </row>
    <row r="40" spans="2:22" x14ac:dyDescent="0.55000000000000004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5"/>
      <c r="O40" s="4"/>
      <c r="P40" s="5"/>
      <c r="Q40" s="5"/>
      <c r="R40" s="5"/>
      <c r="S40" s="5"/>
      <c r="T40" s="5"/>
      <c r="U40" s="5"/>
      <c r="V40" s="5"/>
    </row>
    <row r="41" spans="2:22" x14ac:dyDescent="0.55000000000000004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5"/>
      <c r="O41" s="4"/>
      <c r="P41" s="5"/>
      <c r="Q41" s="5"/>
      <c r="R41" s="5"/>
      <c r="S41" s="5"/>
      <c r="T41" s="5"/>
      <c r="U41" s="5"/>
      <c r="V41" s="5"/>
    </row>
    <row r="42" spans="2:22" x14ac:dyDescent="0.55000000000000004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5"/>
      <c r="Q42" s="5"/>
      <c r="R42" s="5"/>
      <c r="S42" s="5"/>
      <c r="T42" s="5"/>
      <c r="U42" s="5"/>
      <c r="V42" s="5"/>
    </row>
    <row r="43" spans="2:22" x14ac:dyDescent="0.55000000000000004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5"/>
      <c r="Q43" s="5"/>
      <c r="R43" s="5"/>
      <c r="S43" s="5"/>
      <c r="T43" s="5"/>
      <c r="U43" s="5"/>
      <c r="V43" s="5"/>
    </row>
    <row r="44" spans="2:22" x14ac:dyDescent="0.55000000000000004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5"/>
      <c r="Q44" s="5"/>
      <c r="R44" s="5"/>
      <c r="S44" s="5"/>
      <c r="T44" s="5"/>
      <c r="U44" s="5"/>
      <c r="V44" s="5"/>
    </row>
    <row r="45" spans="2:22" x14ac:dyDescent="0.55000000000000004"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5" t="str">
        <f t="shared" ref="P45:P88" si="7">_xlfn.CONCAT("| ",B45," | ",C45," |")</f>
        <v>|  |  |</v>
      </c>
      <c r="Q45" s="5" t="str">
        <f t="shared" ref="Q45:Q88" si="8">_xlfn.CONCAT("| ",B45," | ",C45," | ",D45," |")</f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69" si="9">_xlfn.CONCAT("| ",B45," | ",C45," | ",D45," | ",E45," |",F45," |",G45," |",H45," |",I45," |",J45," |",K45," |",L45," |",M45," |",N45," |")</f>
        <v>|  |  |  |  | | | | | | | | | |</v>
      </c>
    </row>
    <row r="46" spans="2:22" x14ac:dyDescent="0.55000000000000004"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5" t="str">
        <f t="shared" si="7"/>
        <v>|  |  |</v>
      </c>
      <c r="Q46" s="5" t="str">
        <f t="shared" si="8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9"/>
        <v>|  |  |  |  | | | | | | | | | |</v>
      </c>
    </row>
    <row r="47" spans="2:22" x14ac:dyDescent="0.55000000000000004"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5" t="str">
        <f t="shared" si="7"/>
        <v>|  |  |</v>
      </c>
      <c r="Q47" s="5" t="str">
        <f t="shared" si="8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9"/>
        <v>|  |  |  |  | | | | | | | | | |</v>
      </c>
    </row>
    <row r="48" spans="2:22" x14ac:dyDescent="0.55000000000000004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5" t="str">
        <f t="shared" si="7"/>
        <v>|  |  |</v>
      </c>
      <c r="Q48" s="5" t="str">
        <f t="shared" si="8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9"/>
        <v>|  |  |  |  | | | | | | | | | |</v>
      </c>
    </row>
    <row r="49" spans="2:22" x14ac:dyDescent="0.55000000000000004"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5" t="str">
        <f t="shared" si="7"/>
        <v>|  |  |</v>
      </c>
      <c r="Q49" s="5" t="str">
        <f t="shared" si="8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9"/>
        <v>|  |  |  |  | | | | | | | | | |</v>
      </c>
    </row>
    <row r="50" spans="2:22" x14ac:dyDescent="0.55000000000000004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5" t="str">
        <f t="shared" si="7"/>
        <v>|  |  |</v>
      </c>
      <c r="Q50" s="5" t="str">
        <f t="shared" si="8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9"/>
        <v>|  |  |  |  | | | | | | | | | |</v>
      </c>
    </row>
    <row r="51" spans="2:22" x14ac:dyDescent="0.55000000000000004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5" t="str">
        <f t="shared" si="7"/>
        <v>|  |  |</v>
      </c>
      <c r="Q51" s="5" t="str">
        <f t="shared" si="8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9"/>
        <v>|  |  |  |  | | | | | | | | | |</v>
      </c>
    </row>
    <row r="52" spans="2:22" x14ac:dyDescent="0.55000000000000004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5" t="str">
        <f t="shared" si="7"/>
        <v>|  |  |</v>
      </c>
      <c r="Q52" s="5" t="str">
        <f t="shared" si="8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9"/>
        <v>|  |  |  |  | | | | | | | | | |</v>
      </c>
    </row>
    <row r="53" spans="2:22" x14ac:dyDescent="0.55000000000000004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5" t="str">
        <f t="shared" si="7"/>
        <v>|  |  |</v>
      </c>
      <c r="Q53" s="5" t="str">
        <f t="shared" si="8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9"/>
        <v>|  |  |  |  | | | | | | | | | |</v>
      </c>
    </row>
    <row r="54" spans="2:22" x14ac:dyDescent="0.55000000000000004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5" t="str">
        <f t="shared" si="7"/>
        <v>|  |  |</v>
      </c>
      <c r="Q54" s="5" t="str">
        <f t="shared" si="8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9"/>
        <v>|  |  |  |  | | | | | | | | | |</v>
      </c>
    </row>
    <row r="55" spans="2:22" x14ac:dyDescent="0.55000000000000004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5" t="str">
        <f t="shared" si="7"/>
        <v>|  |  |</v>
      </c>
      <c r="Q55" s="5" t="str">
        <f t="shared" si="8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9"/>
        <v>|  |  |  |  | | | | | | | | | |</v>
      </c>
    </row>
    <row r="56" spans="2:22" x14ac:dyDescent="0.55000000000000004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5" t="str">
        <f t="shared" si="7"/>
        <v>|  |  |</v>
      </c>
      <c r="Q56" s="5" t="str">
        <f t="shared" si="8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9"/>
        <v>|  |  |  |  | | | | | | | | | |</v>
      </c>
    </row>
    <row r="57" spans="2:22" x14ac:dyDescent="0.55000000000000004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5" t="str">
        <f t="shared" si="7"/>
        <v>|  |  |</v>
      </c>
      <c r="Q57" s="5" t="str">
        <f t="shared" si="8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9"/>
        <v>|  |  |  |  | | | | | | | | | |</v>
      </c>
    </row>
    <row r="58" spans="2:22" x14ac:dyDescent="0.55000000000000004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5" t="str">
        <f t="shared" si="7"/>
        <v>|  |  |</v>
      </c>
      <c r="Q58" s="5" t="str">
        <f t="shared" si="8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9"/>
        <v>|  |  |  |  | | | | | | | | | |</v>
      </c>
    </row>
    <row r="59" spans="2:22" x14ac:dyDescent="0.55000000000000004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5" t="str">
        <f t="shared" si="7"/>
        <v>|  |  |</v>
      </c>
      <c r="Q59" s="5" t="str">
        <f t="shared" si="8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9"/>
        <v>|  |  |  |  | | | | | | | | | |</v>
      </c>
    </row>
    <row r="60" spans="2:22" x14ac:dyDescent="0.55000000000000004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5" t="str">
        <f t="shared" si="7"/>
        <v>|  |  |</v>
      </c>
      <c r="Q60" s="5" t="str">
        <f t="shared" si="8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9"/>
        <v>|  |  |  |  | | | | | | | | | |</v>
      </c>
    </row>
    <row r="61" spans="2:22" x14ac:dyDescent="0.55000000000000004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5" t="str">
        <f t="shared" si="7"/>
        <v>|  |  |</v>
      </c>
      <c r="Q61" s="5" t="str">
        <f t="shared" si="8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9"/>
        <v>|  |  |  |  | | | | | | | | | |</v>
      </c>
    </row>
    <row r="62" spans="2:22" x14ac:dyDescent="0.55000000000000004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5" t="str">
        <f t="shared" si="7"/>
        <v>|  |  |</v>
      </c>
      <c r="Q62" s="5" t="str">
        <f t="shared" si="8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9"/>
        <v>|  |  |  |  | | | | | | | | | |</v>
      </c>
    </row>
    <row r="63" spans="2:22" x14ac:dyDescent="0.55000000000000004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5" t="str">
        <f t="shared" si="7"/>
        <v>|  |  |</v>
      </c>
      <c r="Q63" s="5" t="str">
        <f t="shared" si="8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9"/>
        <v>|  |  |  |  | | | | | | | | | |</v>
      </c>
    </row>
    <row r="64" spans="2:22" x14ac:dyDescent="0.55000000000000004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5" t="str">
        <f t="shared" si="7"/>
        <v>|  |  |</v>
      </c>
      <c r="Q64" s="5" t="str">
        <f t="shared" si="8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9"/>
        <v>|  |  |  |  | | | | | | | | | |</v>
      </c>
    </row>
    <row r="65" spans="2:22" x14ac:dyDescent="0.55000000000000004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5" t="str">
        <f t="shared" si="7"/>
        <v>|  |  |</v>
      </c>
      <c r="Q65" s="5" t="str">
        <f t="shared" si="8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9"/>
        <v>|  |  |  |  | | | | | | | | | |</v>
      </c>
    </row>
    <row r="66" spans="2:22" x14ac:dyDescent="0.55000000000000004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5" t="str">
        <f t="shared" si="7"/>
        <v>|  |  |</v>
      </c>
      <c r="Q66" s="5" t="str">
        <f t="shared" si="8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9"/>
        <v>|  |  |  |  | | | | | | | | | |</v>
      </c>
    </row>
    <row r="67" spans="2:22" x14ac:dyDescent="0.55000000000000004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5" t="str">
        <f t="shared" si="7"/>
        <v>|  |  |</v>
      </c>
      <c r="Q67" s="5" t="str">
        <f t="shared" si="8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9"/>
        <v>|  |  |  |  | | | | | | | | | |</v>
      </c>
    </row>
    <row r="68" spans="2:22" x14ac:dyDescent="0.55000000000000004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5" t="str">
        <f t="shared" si="7"/>
        <v>|  |  |</v>
      </c>
      <c r="Q68" s="5" t="str">
        <f t="shared" si="8"/>
        <v>|  |  |  |</v>
      </c>
      <c r="R68" s="5" t="str">
        <f t="shared" ref="R68:R103" si="10">_xlfn.CONCAT("| ",B68," | ",C68," | ",D68," | ",E68," |")</f>
        <v>|  |  |  |  |</v>
      </c>
      <c r="S68" s="5" t="str">
        <f t="shared" si="6"/>
        <v>|  |  |  |  | |</v>
      </c>
      <c r="T68" s="5" t="str">
        <f t="shared" ref="T68:T103" si="11">_xlfn.CONCAT("| ",B68," | ",C68," | ",D68," | ",E68," |",F68," |",G68," |")</f>
        <v>|  |  |  |  | | |</v>
      </c>
      <c r="U68" s="5"/>
      <c r="V68" s="5" t="str">
        <f t="shared" si="9"/>
        <v>|  |  |  |  | | | | | | | | | |</v>
      </c>
    </row>
    <row r="69" spans="2:22" x14ac:dyDescent="0.55000000000000004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5" t="str">
        <f t="shared" si="7"/>
        <v>|  |  |</v>
      </c>
      <c r="Q69" s="5" t="str">
        <f t="shared" si="8"/>
        <v>|  |  |  |</v>
      </c>
      <c r="R69" s="5" t="str">
        <f t="shared" si="10"/>
        <v>|  |  |  |  |</v>
      </c>
      <c r="S69" s="5" t="str">
        <f t="shared" si="6"/>
        <v>|  |  |  |  | |</v>
      </c>
      <c r="T69" s="5" t="str">
        <f t="shared" si="11"/>
        <v>|  |  |  |  | | |</v>
      </c>
      <c r="U69" s="5"/>
      <c r="V69" s="5" t="str">
        <f t="shared" si="9"/>
        <v>|  |  |  |  | | | | | | | | | |</v>
      </c>
    </row>
    <row r="70" spans="2:22" x14ac:dyDescent="0.55000000000000004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5" t="str">
        <f t="shared" si="7"/>
        <v>|  |  |</v>
      </c>
      <c r="Q70" s="5" t="str">
        <f t="shared" si="8"/>
        <v>|  |  |  |</v>
      </c>
      <c r="R70" s="5" t="str">
        <f t="shared" si="10"/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11"/>
        <v>|  |  |  |  | | |</v>
      </c>
      <c r="U70" s="5"/>
      <c r="V70" s="5" t="str">
        <f t="shared" ref="V70:V103" si="13">_xlfn.CONCAT("| ",B70," | ",C70," | ",D70," | ",E70," |",F70," |",G70," |",H70," |",I70," |",J70," |",K70," |",L70," |",M70," |",N70," |")</f>
        <v>|  |  |  |  | | | | | | | | | |</v>
      </c>
    </row>
    <row r="71" spans="2:22" x14ac:dyDescent="0.55000000000000004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5" t="str">
        <f t="shared" si="7"/>
        <v>|  |  |</v>
      </c>
      <c r="Q71" s="5" t="str">
        <f t="shared" si="8"/>
        <v>|  |  |  |</v>
      </c>
      <c r="R71" s="5" t="str">
        <f t="shared" si="10"/>
        <v>|  |  |  |  |</v>
      </c>
      <c r="S71" s="5" t="str">
        <f t="shared" si="12"/>
        <v>|  |  |  |  | |</v>
      </c>
      <c r="T71" s="5" t="str">
        <f t="shared" si="11"/>
        <v>|  |  |  |  | | |</v>
      </c>
      <c r="U71" s="5"/>
      <c r="V71" s="5" t="str">
        <f t="shared" si="13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7"/>
        <v>|  |  |</v>
      </c>
      <c r="Q72" s="5" t="str">
        <f t="shared" si="8"/>
        <v>|  |  |  |</v>
      </c>
      <c r="R72" s="5" t="str">
        <f t="shared" si="10"/>
        <v>|  |  |  |  |</v>
      </c>
      <c r="S72" s="5" t="str">
        <f t="shared" si="12"/>
        <v>|  |  |  |  | |</v>
      </c>
      <c r="T72" s="5" t="str">
        <f t="shared" si="11"/>
        <v>|  |  |  |  | | |</v>
      </c>
      <c r="U72" s="5"/>
      <c r="V72" s="5" t="str">
        <f t="shared" si="13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7"/>
        <v>|  |  |</v>
      </c>
      <c r="Q73" s="5" t="str">
        <f t="shared" si="8"/>
        <v>|  |  |  |</v>
      </c>
      <c r="R73" s="5" t="str">
        <f t="shared" si="10"/>
        <v>|  |  |  |  |</v>
      </c>
      <c r="S73" s="5" t="str">
        <f t="shared" si="12"/>
        <v>|  |  |  |  | |</v>
      </c>
      <c r="T73" s="5" t="str">
        <f t="shared" si="11"/>
        <v>|  |  |  |  | | |</v>
      </c>
      <c r="U73" s="5"/>
      <c r="V73" s="5" t="str">
        <f t="shared" si="13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7"/>
        <v>|  |  |</v>
      </c>
      <c r="Q74" s="5" t="str">
        <f t="shared" si="8"/>
        <v>|  |  |  |</v>
      </c>
      <c r="R74" s="5" t="str">
        <f t="shared" si="10"/>
        <v>|  |  |  |  |</v>
      </c>
      <c r="S74" s="5" t="str">
        <f t="shared" si="12"/>
        <v>|  |  |  |  | |</v>
      </c>
      <c r="T74" s="5" t="str">
        <f t="shared" si="11"/>
        <v>|  |  |  |  | | |</v>
      </c>
      <c r="U74" s="5"/>
      <c r="V74" s="5" t="str">
        <f t="shared" si="13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7"/>
        <v>|  |  |</v>
      </c>
      <c r="Q75" s="5" t="str">
        <f t="shared" si="8"/>
        <v>|  |  |  |</v>
      </c>
      <c r="R75" s="5" t="str">
        <f t="shared" si="10"/>
        <v>|  |  |  |  |</v>
      </c>
      <c r="S75" s="5" t="str">
        <f t="shared" si="12"/>
        <v>|  |  |  |  | |</v>
      </c>
      <c r="T75" s="5" t="str">
        <f t="shared" si="11"/>
        <v>|  |  |  |  | | |</v>
      </c>
      <c r="U75" s="5"/>
      <c r="V75" s="5" t="str">
        <f t="shared" si="13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7"/>
        <v>|  |  |</v>
      </c>
      <c r="Q76" s="5" t="str">
        <f t="shared" si="8"/>
        <v>|  |  |  |</v>
      </c>
      <c r="R76" s="5" t="str">
        <f t="shared" si="10"/>
        <v>|  |  |  |  |</v>
      </c>
      <c r="S76" s="5" t="str">
        <f t="shared" si="12"/>
        <v>|  |  |  |  | |</v>
      </c>
      <c r="T76" s="5" t="str">
        <f t="shared" si="11"/>
        <v>|  |  |  |  | | |</v>
      </c>
      <c r="U76" s="5"/>
      <c r="V76" s="5" t="str">
        <f t="shared" si="13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7"/>
        <v>|  |  |</v>
      </c>
      <c r="Q77" s="5" t="str">
        <f t="shared" si="8"/>
        <v>|  |  |  |</v>
      </c>
      <c r="R77" s="5" t="str">
        <f t="shared" si="10"/>
        <v>|  |  |  |  |</v>
      </c>
      <c r="S77" s="5" t="str">
        <f t="shared" si="12"/>
        <v>|  |  |  |  | |</v>
      </c>
      <c r="T77" s="5" t="str">
        <f t="shared" si="11"/>
        <v>|  |  |  |  | | |</v>
      </c>
      <c r="U77" s="5"/>
      <c r="V77" s="5" t="str">
        <f t="shared" si="13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7"/>
        <v>|  |  |</v>
      </c>
      <c r="Q78" s="5" t="str">
        <f t="shared" si="8"/>
        <v>|  |  |  |</v>
      </c>
      <c r="R78" s="5" t="str">
        <f t="shared" si="10"/>
        <v>|  |  |  |  |</v>
      </c>
      <c r="S78" s="5" t="str">
        <f t="shared" si="12"/>
        <v>|  |  |  |  | |</v>
      </c>
      <c r="T78" s="5" t="str">
        <f t="shared" si="11"/>
        <v>|  |  |  |  | | |</v>
      </c>
      <c r="U78" s="5"/>
      <c r="V78" s="5" t="str">
        <f t="shared" si="13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7"/>
        <v>|  |  |</v>
      </c>
      <c r="Q79" s="5" t="str">
        <f t="shared" si="8"/>
        <v>|  |  |  |</v>
      </c>
      <c r="R79" s="5" t="str">
        <f t="shared" si="10"/>
        <v>|  |  |  |  |</v>
      </c>
      <c r="S79" s="5" t="str">
        <f t="shared" si="12"/>
        <v>|  |  |  |  | |</v>
      </c>
      <c r="T79" s="5" t="str">
        <f t="shared" si="11"/>
        <v>|  |  |  |  | | |</v>
      </c>
      <c r="U79" s="5"/>
      <c r="V79" s="5" t="str">
        <f t="shared" si="13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7"/>
        <v>|  |  |</v>
      </c>
      <c r="Q80" s="5" t="str">
        <f t="shared" si="8"/>
        <v>|  |  |  |</v>
      </c>
      <c r="R80" s="5" t="str">
        <f t="shared" si="10"/>
        <v>|  |  |  |  |</v>
      </c>
      <c r="S80" s="5" t="str">
        <f t="shared" si="12"/>
        <v>|  |  |  |  | |</v>
      </c>
      <c r="T80" s="5" t="str">
        <f t="shared" si="11"/>
        <v>|  |  |  |  | | |</v>
      </c>
      <c r="U80" s="5"/>
      <c r="V80" s="5" t="str">
        <f t="shared" si="13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7"/>
        <v>|  |  |</v>
      </c>
      <c r="Q81" s="5" t="str">
        <f t="shared" si="8"/>
        <v>|  |  |  |</v>
      </c>
      <c r="R81" s="5" t="str">
        <f t="shared" si="10"/>
        <v>|  |  |  |  |</v>
      </c>
      <c r="S81" s="5" t="str">
        <f t="shared" si="12"/>
        <v>|  |  |  |  | |</v>
      </c>
      <c r="T81" s="5" t="str">
        <f t="shared" si="11"/>
        <v>|  |  |  |  | | |</v>
      </c>
      <c r="U81" s="5"/>
      <c r="V81" s="5" t="str">
        <f t="shared" si="13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7"/>
        <v>|  |  |</v>
      </c>
      <c r="Q82" s="5" t="str">
        <f t="shared" si="8"/>
        <v>|  |  |  |</v>
      </c>
      <c r="R82" s="5" t="str">
        <f t="shared" si="10"/>
        <v>|  |  |  |  |</v>
      </c>
      <c r="S82" s="5" t="str">
        <f t="shared" si="12"/>
        <v>|  |  |  |  | |</v>
      </c>
      <c r="T82" s="5" t="str">
        <f t="shared" si="11"/>
        <v>|  |  |  |  | | |</v>
      </c>
      <c r="U82" s="5"/>
      <c r="V82" s="5" t="str">
        <f t="shared" si="13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7"/>
        <v>|  |  |</v>
      </c>
      <c r="Q83" s="5" t="str">
        <f t="shared" si="8"/>
        <v>|  |  |  |</v>
      </c>
      <c r="R83" s="5" t="str">
        <f t="shared" si="10"/>
        <v>|  |  |  |  |</v>
      </c>
      <c r="S83" s="5" t="str">
        <f t="shared" si="12"/>
        <v>|  |  |  |  | |</v>
      </c>
      <c r="T83" s="5" t="str">
        <f t="shared" si="11"/>
        <v>|  |  |  |  | | |</v>
      </c>
      <c r="U83" s="5"/>
      <c r="V83" s="5" t="str">
        <f t="shared" si="13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7"/>
        <v>|  |  |</v>
      </c>
      <c r="Q84" s="5" t="str">
        <f t="shared" si="8"/>
        <v>|  |  |  |</v>
      </c>
      <c r="R84" s="5" t="str">
        <f t="shared" si="10"/>
        <v>|  |  |  |  |</v>
      </c>
      <c r="S84" s="5" t="str">
        <f t="shared" si="12"/>
        <v>|  |  |  |  | |</v>
      </c>
      <c r="T84" s="5" t="str">
        <f t="shared" si="11"/>
        <v>|  |  |  |  | | |</v>
      </c>
      <c r="U84" s="5"/>
      <c r="V84" s="5" t="str">
        <f t="shared" si="13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7"/>
        <v>|  |  |</v>
      </c>
      <c r="Q85" s="5" t="str">
        <f t="shared" si="8"/>
        <v>|  |  |  |</v>
      </c>
      <c r="R85" s="5" t="str">
        <f t="shared" si="10"/>
        <v>|  |  |  |  |</v>
      </c>
      <c r="S85" s="5" t="str">
        <f t="shared" si="12"/>
        <v>|  |  |  |  | |</v>
      </c>
      <c r="T85" s="5" t="str">
        <f t="shared" si="11"/>
        <v>|  |  |  |  | | |</v>
      </c>
      <c r="U85" s="5"/>
      <c r="V85" s="5" t="str">
        <f t="shared" si="13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7"/>
        <v>|  |  |</v>
      </c>
      <c r="Q86" s="5" t="str">
        <f t="shared" si="8"/>
        <v>|  |  |  |</v>
      </c>
      <c r="R86" s="5" t="str">
        <f t="shared" si="10"/>
        <v>|  |  |  |  |</v>
      </c>
      <c r="S86" s="5" t="str">
        <f t="shared" si="12"/>
        <v>|  |  |  |  | |</v>
      </c>
      <c r="T86" s="5" t="str">
        <f t="shared" si="11"/>
        <v>|  |  |  |  | | |</v>
      </c>
      <c r="U86" s="5"/>
      <c r="V86" s="5" t="str">
        <f t="shared" si="13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7"/>
        <v>|  |  |</v>
      </c>
      <c r="Q87" s="5" t="str">
        <f t="shared" si="8"/>
        <v>|  |  |  |</v>
      </c>
      <c r="R87" s="5" t="str">
        <f t="shared" si="10"/>
        <v>|  |  |  |  |</v>
      </c>
      <c r="S87" s="5" t="str">
        <f t="shared" si="12"/>
        <v>|  |  |  |  | |</v>
      </c>
      <c r="T87" s="5" t="str">
        <f t="shared" si="11"/>
        <v>|  |  |  |  | | |</v>
      </c>
      <c r="U87" s="5"/>
      <c r="V87" s="5" t="str">
        <f t="shared" si="13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7"/>
        <v>|  |  |</v>
      </c>
      <c r="Q88" s="5" t="str">
        <f t="shared" si="8"/>
        <v>|  |  |  |</v>
      </c>
      <c r="R88" s="5" t="str">
        <f t="shared" si="10"/>
        <v>|  |  |  |  |</v>
      </c>
      <c r="S88" s="5" t="str">
        <f t="shared" si="12"/>
        <v>|  |  |  |  | |</v>
      </c>
      <c r="T88" s="5" t="str">
        <f t="shared" si="11"/>
        <v>|  |  |  |  | | |</v>
      </c>
      <c r="U88" s="5"/>
      <c r="V88" s="5" t="str">
        <f t="shared" si="13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ref="P89:P103" si="14">_xlfn.CONCAT("| ",B89," | ",C89," |")</f>
        <v>|  |  |</v>
      </c>
      <c r="Q89" s="5" t="str">
        <f t="shared" ref="Q89:Q103" si="15">_xlfn.CONCAT("| ",B89," | ",C89," | ",D89," |")</f>
        <v>|  |  |  |</v>
      </c>
      <c r="R89" s="5" t="str">
        <f t="shared" si="10"/>
        <v>|  |  |  |  |</v>
      </c>
      <c r="S89" s="5" t="str">
        <f t="shared" si="12"/>
        <v>|  |  |  |  | |</v>
      </c>
      <c r="T89" s="5" t="str">
        <f t="shared" si="11"/>
        <v>|  |  |  |  | | |</v>
      </c>
      <c r="U89" s="5"/>
      <c r="V89" s="5" t="str">
        <f t="shared" si="13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4"/>
        <v>|  |  |</v>
      </c>
      <c r="Q90" s="5" t="str">
        <f t="shared" si="15"/>
        <v>|  |  |  |</v>
      </c>
      <c r="R90" s="5" t="str">
        <f t="shared" si="10"/>
        <v>|  |  |  |  |</v>
      </c>
      <c r="S90" s="5" t="str">
        <f t="shared" si="12"/>
        <v>|  |  |  |  | |</v>
      </c>
      <c r="T90" s="5" t="str">
        <f t="shared" si="11"/>
        <v>|  |  |  |  | | |</v>
      </c>
      <c r="U90" s="5"/>
      <c r="V90" s="5" t="str">
        <f t="shared" si="13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4"/>
        <v>|  |  |</v>
      </c>
      <c r="Q91" s="5" t="str">
        <f t="shared" si="15"/>
        <v>|  |  |  |</v>
      </c>
      <c r="R91" s="5" t="str">
        <f t="shared" si="10"/>
        <v>|  |  |  |  |</v>
      </c>
      <c r="S91" s="5" t="str">
        <f t="shared" si="12"/>
        <v>|  |  |  |  | |</v>
      </c>
      <c r="T91" s="5" t="str">
        <f t="shared" si="11"/>
        <v>|  |  |  |  | | |</v>
      </c>
      <c r="U91" s="5"/>
      <c r="V91" s="5" t="str">
        <f t="shared" si="13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4"/>
        <v>|  |  |</v>
      </c>
      <c r="Q92" s="5" t="str">
        <f t="shared" si="15"/>
        <v>|  |  |  |</v>
      </c>
      <c r="R92" s="5" t="str">
        <f t="shared" si="10"/>
        <v>|  |  |  |  |</v>
      </c>
      <c r="S92" s="5" t="str">
        <f t="shared" si="12"/>
        <v>|  |  |  |  | |</v>
      </c>
      <c r="T92" s="5" t="str">
        <f t="shared" si="11"/>
        <v>|  |  |  |  | | |</v>
      </c>
      <c r="U92" s="5"/>
      <c r="V92" s="5" t="str">
        <f t="shared" si="13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4"/>
        <v>|  |  |</v>
      </c>
      <c r="Q93" s="5" t="str">
        <f t="shared" si="15"/>
        <v>|  |  |  |</v>
      </c>
      <c r="R93" s="5" t="str">
        <f t="shared" si="10"/>
        <v>|  |  |  |  |</v>
      </c>
      <c r="S93" s="5" t="str">
        <f t="shared" si="12"/>
        <v>|  |  |  |  | |</v>
      </c>
      <c r="T93" s="5" t="str">
        <f t="shared" si="11"/>
        <v>|  |  |  |  | | |</v>
      </c>
      <c r="U93" s="5"/>
      <c r="V93" s="5" t="str">
        <f t="shared" si="13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4"/>
        <v>|  |  |</v>
      </c>
      <c r="Q94" s="5" t="str">
        <f t="shared" si="15"/>
        <v>|  |  |  |</v>
      </c>
      <c r="R94" s="5" t="str">
        <f t="shared" si="10"/>
        <v>|  |  |  |  |</v>
      </c>
      <c r="S94" s="5" t="str">
        <f t="shared" si="12"/>
        <v>|  |  |  |  | |</v>
      </c>
      <c r="T94" s="5" t="str">
        <f t="shared" si="11"/>
        <v>|  |  |  |  | | |</v>
      </c>
      <c r="U94" s="5"/>
      <c r="V94" s="5" t="str">
        <f t="shared" si="13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4"/>
        <v>|  |  |</v>
      </c>
      <c r="Q95" s="5" t="str">
        <f t="shared" si="15"/>
        <v>|  |  |  |</v>
      </c>
      <c r="R95" s="5" t="str">
        <f t="shared" si="10"/>
        <v>|  |  |  |  |</v>
      </c>
      <c r="S95" s="5" t="str">
        <f t="shared" si="12"/>
        <v>|  |  |  |  | |</v>
      </c>
      <c r="T95" s="5" t="str">
        <f t="shared" si="11"/>
        <v>|  |  |  |  | | |</v>
      </c>
      <c r="U95" s="5"/>
      <c r="V95" s="5" t="str">
        <f t="shared" si="13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4"/>
        <v>|  |  |</v>
      </c>
      <c r="Q96" s="5" t="str">
        <f t="shared" si="15"/>
        <v>|  |  |  |</v>
      </c>
      <c r="R96" s="5" t="str">
        <f t="shared" si="10"/>
        <v>|  |  |  |  |</v>
      </c>
      <c r="S96" s="5" t="str">
        <f t="shared" si="12"/>
        <v>|  |  |  |  | |</v>
      </c>
      <c r="T96" s="5" t="str">
        <f t="shared" si="11"/>
        <v>|  |  |  |  | | |</v>
      </c>
      <c r="U96" s="5"/>
      <c r="V96" s="5" t="str">
        <f t="shared" si="13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4"/>
        <v>|  |  |</v>
      </c>
      <c r="Q97" s="5" t="str">
        <f t="shared" si="15"/>
        <v>|  |  |  |</v>
      </c>
      <c r="R97" s="5" t="str">
        <f t="shared" si="10"/>
        <v>|  |  |  |  |</v>
      </c>
      <c r="S97" s="5" t="str">
        <f t="shared" si="12"/>
        <v>|  |  |  |  | |</v>
      </c>
      <c r="T97" s="5" t="str">
        <f t="shared" si="11"/>
        <v>|  |  |  |  | | |</v>
      </c>
      <c r="U97" s="5"/>
      <c r="V97" s="5" t="str">
        <f t="shared" si="13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4"/>
        <v>|  |  |</v>
      </c>
      <c r="Q98" s="5" t="str">
        <f t="shared" si="15"/>
        <v>|  |  |  |</v>
      </c>
      <c r="R98" s="5" t="str">
        <f t="shared" si="10"/>
        <v>|  |  |  |  |</v>
      </c>
      <c r="S98" s="5" t="str">
        <f t="shared" si="12"/>
        <v>|  |  |  |  | |</v>
      </c>
      <c r="T98" s="5" t="str">
        <f t="shared" si="11"/>
        <v>|  |  |  |  | | |</v>
      </c>
      <c r="U98" s="5"/>
      <c r="V98" s="5" t="str">
        <f t="shared" si="13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4"/>
        <v>|  |  |</v>
      </c>
      <c r="Q99" s="5" t="str">
        <f t="shared" si="15"/>
        <v>|  |  |  |</v>
      </c>
      <c r="R99" s="5" t="str">
        <f t="shared" si="10"/>
        <v>|  |  |  |  |</v>
      </c>
      <c r="S99" s="5" t="str">
        <f t="shared" si="12"/>
        <v>|  |  |  |  | |</v>
      </c>
      <c r="T99" s="5" t="str">
        <f t="shared" si="11"/>
        <v>|  |  |  |  | | |</v>
      </c>
      <c r="U99" s="5"/>
      <c r="V99" s="5" t="str">
        <f t="shared" si="13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4"/>
        <v>|  |  |</v>
      </c>
      <c r="Q100" s="5" t="str">
        <f t="shared" si="15"/>
        <v>|  |  |  |</v>
      </c>
      <c r="R100" s="5" t="str">
        <f t="shared" si="10"/>
        <v>|  |  |  |  |</v>
      </c>
      <c r="S100" s="5" t="str">
        <f t="shared" si="12"/>
        <v>|  |  |  |  | |</v>
      </c>
      <c r="T100" s="5" t="str">
        <f t="shared" si="11"/>
        <v>|  |  |  |  | | |</v>
      </c>
      <c r="U100" s="5"/>
      <c r="V100" s="5" t="str">
        <f t="shared" si="13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4"/>
        <v>|  |  |</v>
      </c>
      <c r="Q101" s="5" t="str">
        <f t="shared" si="15"/>
        <v>|  |  |  |</v>
      </c>
      <c r="R101" s="5" t="str">
        <f t="shared" si="10"/>
        <v>|  |  |  |  |</v>
      </c>
      <c r="S101" s="5" t="str">
        <f t="shared" si="12"/>
        <v>|  |  |  |  | |</v>
      </c>
      <c r="T101" s="5" t="str">
        <f t="shared" si="11"/>
        <v>|  |  |  |  | | |</v>
      </c>
      <c r="U101" s="5"/>
      <c r="V101" s="5" t="str">
        <f t="shared" si="13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4"/>
        <v>|  |  |</v>
      </c>
      <c r="Q102" s="5" t="str">
        <f t="shared" si="15"/>
        <v>|  |  |  |</v>
      </c>
      <c r="R102" s="5" t="str">
        <f t="shared" si="10"/>
        <v>|  |  |  |  |</v>
      </c>
      <c r="S102" s="5" t="str">
        <f t="shared" si="12"/>
        <v>|  |  |  |  | |</v>
      </c>
      <c r="T102" s="5" t="str">
        <f t="shared" si="11"/>
        <v>|  |  |  |  | | |</v>
      </c>
      <c r="U102" s="5"/>
      <c r="V102" s="5" t="str">
        <f t="shared" si="13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4"/>
        <v>|  |  |</v>
      </c>
      <c r="Q103" s="5" t="str">
        <f t="shared" si="15"/>
        <v>|  |  |  |</v>
      </c>
      <c r="R103" s="5" t="str">
        <f t="shared" si="10"/>
        <v>|  |  |  |  |</v>
      </c>
      <c r="S103" s="5" t="str">
        <f t="shared" si="12"/>
        <v>|  |  |  |  | |</v>
      </c>
      <c r="T103" s="5" t="str">
        <f t="shared" si="11"/>
        <v>|  |  |  |  | | |</v>
      </c>
      <c r="U103" s="5"/>
      <c r="V103" s="5" t="str">
        <f t="shared" si="13"/>
        <v>|  |  |  |  | | | | | | | | | |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57EDD-9C70-4ED2-9CDC-202F9E2122A1}">
  <dimension ref="B1:V320"/>
  <sheetViews>
    <sheetView showGridLines="0" tabSelected="1" zoomScaleNormal="100" workbookViewId="0">
      <pane ySplit="4" topLeftCell="A27" activePane="bottomLeft" state="frozen"/>
      <selection pane="bottomLeft" activeCell="D38" sqref="D38"/>
    </sheetView>
  </sheetViews>
  <sheetFormatPr defaultColWidth="9.140625" defaultRowHeight="15.4" x14ac:dyDescent="0.55000000000000004"/>
  <cols>
    <col min="1" max="1" width="2.7109375" style="1" customWidth="1"/>
    <col min="2" max="2" width="26.5703125" style="1" customWidth="1"/>
    <col min="3" max="3" width="46.140625" style="1" customWidth="1"/>
    <col min="4" max="4" width="29.28515625" style="1" customWidth="1"/>
    <col min="5" max="7" width="15.92578125" style="1" customWidth="1"/>
    <col min="8" max="8" width="7.140625" style="1" customWidth="1"/>
    <col min="9" max="14" width="4.42578125" style="1" customWidth="1"/>
    <col min="15" max="15" width="2.7109375" style="1" customWidth="1"/>
    <col min="16" max="20" width="74.140625" style="1" customWidth="1"/>
    <col min="21" max="21" width="56" style="1" customWidth="1"/>
    <col min="22" max="22" width="74.140625" style="1" customWidth="1"/>
    <col min="23" max="16384" width="9.140625" style="1"/>
  </cols>
  <sheetData>
    <row r="1" spans="2:22" x14ac:dyDescent="0.55000000000000004"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</row>
    <row r="2" spans="2:22" x14ac:dyDescent="0.55000000000000004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3" t="s">
        <v>1</v>
      </c>
      <c r="Q2" s="3" t="s">
        <v>2</v>
      </c>
      <c r="R2" s="3" t="s">
        <v>3</v>
      </c>
      <c r="S2" s="3" t="s">
        <v>5</v>
      </c>
      <c r="T2" s="3" t="s">
        <v>8</v>
      </c>
      <c r="U2" s="3" t="s">
        <v>10</v>
      </c>
      <c r="V2" s="3" t="s">
        <v>7</v>
      </c>
    </row>
    <row r="3" spans="2:22" ht="30.75" x14ac:dyDescent="0.55000000000000004">
      <c r="B3" s="4" t="s">
        <v>49</v>
      </c>
      <c r="C3" s="4" t="s">
        <v>104</v>
      </c>
      <c r="D3" s="4" t="s">
        <v>44</v>
      </c>
      <c r="E3" s="4" t="s">
        <v>45</v>
      </c>
      <c r="F3" s="4" t="s">
        <v>46</v>
      </c>
      <c r="G3" s="4" t="s">
        <v>47</v>
      </c>
      <c r="H3" s="4" t="s">
        <v>14</v>
      </c>
      <c r="I3" s="4"/>
      <c r="J3" s="4"/>
      <c r="K3" s="4"/>
      <c r="L3" s="4"/>
      <c r="M3" s="4"/>
      <c r="N3" s="4"/>
      <c r="O3" s="4"/>
      <c r="P3" s="5" t="str">
        <f>_xlfn.CONCAT("| ",B3," | ",C3," |")</f>
        <v>| Tema general o medio | Ráster |</v>
      </c>
      <c r="Q3" s="5" t="str">
        <f>_xlfn.CONCAT("| ",B3," | ",C3," | ",D3," |")</f>
        <v>| Tema general o medio | Ráster | Capa - Descripción |</v>
      </c>
      <c r="R3" s="5" t="str">
        <f>_xlfn.CONCAT("| ",B3," | ",C3," | ",D3," | ",E3," |")</f>
        <v>| Tema general o medio | Ráster | Capa - Descripción | CAD Color |</v>
      </c>
      <c r="S3" s="5" t="str">
        <f>_xlfn.CONCAT("| ",B3," | ",C3," | ",D3," | ",E3," |",F3," |")</f>
        <v>| Tema general o medio | Ráster | Capa - Descripción | CAD Color |CAD Linetype |</v>
      </c>
      <c r="T3" s="5" t="str">
        <f>_xlfn.CONCAT("| ",B3," | ",C3," | ",D3," | ",E3," |",F3," |",G3," |")</f>
        <v>| Tema general o medio | Ráster | Capa - Descripción | CAD Color |CAD Linetype |CAD Lineweight |</v>
      </c>
      <c r="U3" s="5" t="str">
        <f>_xlfn.CONCAT("| ",B3," | ",C3," | ",D3," | ",E3," | ",F3," | ",G3," | ",H3," |")</f>
        <v>| Tema general o medio | Ráster | Capa - Descripción | CAD Color | CAD Linetype | CAD Lineweight | D |</v>
      </c>
      <c r="V3" s="5" t="str">
        <f t="shared" ref="V3:V28" si="0">_xlfn.CONCAT("| ",B3," | ",C3," | ",D3," | ",E3," |",F3," |",G3," |",H3," |",I3," |",J3," |",K3," |",L3," |",M3," |",N3," |")</f>
        <v>| Tema general o medio | Ráster | Capa - Descripción | CAD Color |CAD Linetype |CAD Lineweight |D | | | | | | |</v>
      </c>
    </row>
    <row r="4" spans="2:22" x14ac:dyDescent="0.55000000000000004">
      <c r="B4" s="6" t="s">
        <v>4</v>
      </c>
      <c r="C4" s="6" t="s">
        <v>4</v>
      </c>
      <c r="D4" s="6" t="s">
        <v>4</v>
      </c>
      <c r="E4" s="6" t="s">
        <v>4</v>
      </c>
      <c r="F4" s="6" t="s">
        <v>4</v>
      </c>
      <c r="G4" s="6" t="s">
        <v>4</v>
      </c>
      <c r="H4" s="6" t="s">
        <v>4</v>
      </c>
      <c r="I4" s="6" t="s">
        <v>4</v>
      </c>
      <c r="J4" s="6" t="s">
        <v>4</v>
      </c>
      <c r="K4" s="6" t="s">
        <v>4</v>
      </c>
      <c r="L4" s="6" t="s">
        <v>4</v>
      </c>
      <c r="M4" s="6" t="s">
        <v>4</v>
      </c>
      <c r="N4" s="6" t="s">
        <v>4</v>
      </c>
      <c r="O4" s="7"/>
      <c r="P4" s="8" t="str">
        <f>_xlfn.CONCAT("|",B4,"|",C4,"|")</f>
        <v>|---|---|</v>
      </c>
      <c r="Q4" s="8" t="str">
        <f>_xlfn.CONCAT("|",B4,"|",C4,"|",D4,"|")</f>
        <v>|---|---|---|</v>
      </c>
      <c r="R4" s="8" t="str">
        <f>_xlfn.CONCAT("|",B4,"|",C4,"|",D4,"|",E4,"|")</f>
        <v>|---|---|---|---|</v>
      </c>
      <c r="S4" s="8" t="str">
        <f>_xlfn.CONCAT("|",B4,"|",C4,"|",D4,"|",E4,"|",F4,"|")</f>
        <v>|---|---|---|---|---|</v>
      </c>
      <c r="T4" s="5" t="str">
        <f t="shared" ref="T4:T67" si="1">_xlfn.CONCAT("| ",B4," | ",C4," | ",D4," | ",E4," |",F4," |",G4," |")</f>
        <v>| --- | --- | --- | --- |--- |--- |</v>
      </c>
      <c r="U4" s="5" t="str">
        <f t="shared" ref="U4:U28" si="2">_xlfn.CONCAT("| ",B4," | ",C4," | ",D4," | ",E4," | ",F4," | ",G4," | ",H4," |")</f>
        <v>| --- | --- | --- | --- | --- | --- | --- |</v>
      </c>
      <c r="V4" s="5" t="str">
        <f t="shared" si="0"/>
        <v>| --- | --- | --- | --- |--- |--- |--- |--- |--- |--- |--- |--- |--- |</v>
      </c>
    </row>
    <row r="5" spans="2:22" ht="76.900000000000006" x14ac:dyDescent="0.55000000000000004">
      <c r="B5" s="5" t="s">
        <v>50</v>
      </c>
      <c r="C5" s="5" t="s">
        <v>79</v>
      </c>
      <c r="D5" s="5" t="s">
        <v>48</v>
      </c>
      <c r="E5" s="5" t="s">
        <v>48</v>
      </c>
      <c r="F5" s="5" t="s">
        <v>48</v>
      </c>
      <c r="G5" s="5" t="s">
        <v>48</v>
      </c>
      <c r="H5" s="5"/>
      <c r="I5" s="5"/>
      <c r="J5" s="5"/>
      <c r="K5" s="5"/>
      <c r="L5" s="5"/>
      <c r="M5" s="5"/>
      <c r="N5" s="5"/>
      <c r="O5" s="5"/>
      <c r="P5" s="5" t="str">
        <f>_xlfn.CONCAT("| ",B5," | ",C5," |")</f>
        <v>| Imagen de Satélite Regional | Corresponde al mosaico de imágenes de satélite con resolucion espacial mayor o igual a 10 metros, ortocorregido y/o georeferenciado, modo pancromático, multiespectral o hiperespectral. |</v>
      </c>
      <c r="Q5" s="5" t="str">
        <f t="shared" ref="Q5:Q68" si="3">_xlfn.CONCAT("| ",B5," | ",C5," | ",D5," |")</f>
        <v>| Imagen de Satélite Regional | Corresponde al mosaico de imágenes de satélite con resolucion espacial mayor o igual a 10 metros, ortocorregido y/o georeferenciado, modo pancromático, multiespectral o hiperespectral. | a |</v>
      </c>
      <c r="R5" s="5" t="str">
        <f>_xlfn.CONCAT("| ",B5," | ",C5," | ",D5," | ",E5," |")</f>
        <v>| Imagen de Satélite Regional | Corresponde al mosaico de imágenes de satélite con resolucion espacial mayor o igual a 10 metros, ortocorregido y/o georeferenciado, modo pancromático, multiespectral o hiperespectral. | a | a |</v>
      </c>
      <c r="S5" s="5" t="str">
        <f>_xlfn.CONCAT("| ",B5," | ",C5," | ",D5," | ",E5," |",F5," |")</f>
        <v>| Imagen de Satélite Regional | Corresponde al mosaico de imágenes de satélite con resolucion espacial mayor o igual a 10 metros, ortocorregido y/o georeferenciado, modo pancromático, multiespectral o hiperespectral. | a | a |a |</v>
      </c>
      <c r="T5" s="5" t="str">
        <f t="shared" si="1"/>
        <v>| Imagen de Satélite Regional | Corresponde al mosaico de imágenes de satélite con resolucion espacial mayor o igual a 10 metros, ortocorregido y/o georeferenciado, modo pancromático, multiespectral o hiperespectral. | a | a |a |a |</v>
      </c>
      <c r="U5" s="5" t="str">
        <f t="shared" si="2"/>
        <v>| Imagen de Satélite Regional | Corresponde al mosaico de imágenes de satélite con resolucion espacial mayor o igual a 10 metros, ortocorregido y/o georeferenciado, modo pancromático, multiespectral o hiperespectral. | a | a | a | a |  |</v>
      </c>
      <c r="V5" s="5" t="str">
        <f t="shared" si="0"/>
        <v>| Imagen de Satélite Regional | Corresponde al mosaico de imágenes de satélite con resolucion espacial mayor o igual a 10 metros, ortocorregido y/o georeferenciado, modo pancromático, multiespectral o hiperespectral. | a | a |a |a | | | | | | | |</v>
      </c>
    </row>
    <row r="6" spans="2:22" ht="76.900000000000006" x14ac:dyDescent="0.55000000000000004">
      <c r="B6" s="5" t="s">
        <v>51</v>
      </c>
      <c r="C6" s="5" t="s">
        <v>78</v>
      </c>
      <c r="D6" s="5" t="s">
        <v>48</v>
      </c>
      <c r="E6" s="5" t="s">
        <v>48</v>
      </c>
      <c r="F6" s="5" t="s">
        <v>48</v>
      </c>
      <c r="G6" s="5" t="s">
        <v>48</v>
      </c>
      <c r="H6" s="5"/>
      <c r="I6" s="5"/>
      <c r="J6" s="5"/>
      <c r="K6" s="5"/>
      <c r="L6" s="5"/>
      <c r="M6" s="5"/>
      <c r="N6" s="5"/>
      <c r="O6" s="5"/>
      <c r="P6" s="5" t="str">
        <f t="shared" ref="P6:P69" si="4">_xlfn.CONCAT("| ",B6," | ",C6," |")</f>
        <v>| Imagen de Satélite Alta Resolución | Corresponde al mosaico de imágenes de satélite con resolucion espacial menor a 10 metros, ortocorregido y/o georeferenciado, modo pancromático, multiespectral o hiperespectral. |</v>
      </c>
      <c r="Q6" s="5" t="str">
        <f t="shared" si="3"/>
        <v>| Imagen de Satélite Alta Resolución | Corresponde al mosaico de imágenes de satélite con resolucion espacial menor a 10 metros, ortocorregido y/o georeferenciado, modo pancromático, multiespectral o hiperespectral. | a |</v>
      </c>
      <c r="R6" s="5" t="str">
        <f t="shared" ref="R6:R69" si="5">_xlfn.CONCAT("| ",B6," | ",C6," | ",D6," | ",E6," |")</f>
        <v>| Imagen de Satélite Alta Resolución | Corresponde al mosaico de imágenes de satélite con resolucion espacial menor a 10 metros, ortocorregido y/o georeferenciado, modo pancromático, multiespectral o hiperespectral. | a | a |</v>
      </c>
      <c r="S6" s="5" t="str">
        <f t="shared" ref="S6:S69" si="6">_xlfn.CONCAT("| ",B6," | ",C6," | ",D6," | ",E6," |",F6," |")</f>
        <v>| Imagen de Satélite Alta Resolución | Corresponde al mosaico de imágenes de satélite con resolucion espacial menor a 10 metros, ortocorregido y/o georeferenciado, modo pancromático, multiespectral o hiperespectral. | a | a |a |</v>
      </c>
      <c r="T6" s="5" t="str">
        <f t="shared" si="1"/>
        <v>| Imagen de Satélite Alta Resolución | Corresponde al mosaico de imágenes de satélite con resolucion espacial menor a 10 metros, ortocorregido y/o georeferenciado, modo pancromático, multiespectral o hiperespectral. | a | a |a |a |</v>
      </c>
      <c r="U6" s="5" t="str">
        <f t="shared" si="2"/>
        <v>| Imagen de Satélite Alta Resolución | Corresponde al mosaico de imágenes de satélite con resolucion espacial menor a 10 metros, ortocorregido y/o georeferenciado, modo pancromático, multiespectral o hiperespectral. | a | a | a | a |  |</v>
      </c>
      <c r="V6" s="5" t="str">
        <f t="shared" si="0"/>
        <v>| Imagen de Satélite Alta Resolución | Corresponde al mosaico de imágenes de satélite con resolucion espacial menor a 10 metros, ortocorregido y/o georeferenciado, modo pancromático, multiespectral o hiperespectral. | a | a |a |a | | | | | | | |</v>
      </c>
    </row>
    <row r="7" spans="2:22" ht="46.15" x14ac:dyDescent="0.55000000000000004">
      <c r="B7" s="5" t="s">
        <v>52</v>
      </c>
      <c r="C7" s="5" t="s">
        <v>77</v>
      </c>
      <c r="D7" s="5" t="s">
        <v>48</v>
      </c>
      <c r="E7" s="5" t="s">
        <v>48</v>
      </c>
      <c r="F7" s="5" t="s">
        <v>48</v>
      </c>
      <c r="G7" s="5" t="s">
        <v>48</v>
      </c>
      <c r="H7" s="5"/>
      <c r="I7" s="5"/>
      <c r="J7" s="5"/>
      <c r="K7" s="5"/>
      <c r="L7" s="5"/>
      <c r="M7" s="5"/>
      <c r="N7" s="5"/>
      <c r="O7" s="5"/>
      <c r="P7" s="5" t="str">
        <f t="shared" si="4"/>
        <v>| Ortofotografía Aérea | Corresponde al mosaico de fotografías aéreas ortocorregido y/o georeferenciado, modo pancromático o multiespectral. |</v>
      </c>
      <c r="Q7" s="5" t="str">
        <f t="shared" si="3"/>
        <v>| Ortofotografía Aérea | Corresponde al mosaico de fotografías aéreas ortocorregido y/o georeferenciado, modo pancromático o multiespectral. | a |</v>
      </c>
      <c r="R7" s="5" t="str">
        <f t="shared" si="5"/>
        <v>| Ortofotografía Aérea | Corresponde al mosaico de fotografías aéreas ortocorregido y/o georeferenciado, modo pancromático o multiespectral. | a | a |</v>
      </c>
      <c r="S7" s="5" t="str">
        <f t="shared" si="6"/>
        <v>| Ortofotografía Aérea | Corresponde al mosaico de fotografías aéreas ortocorregido y/o georeferenciado, modo pancromático o multiespectral. | a | a |a |</v>
      </c>
      <c r="T7" s="5" t="str">
        <f t="shared" si="1"/>
        <v>| Ortofotografía Aérea | Corresponde al mosaico de fotografías aéreas ortocorregido y/o georeferenciado, modo pancromático o multiespectral. | a | a |a |a |</v>
      </c>
      <c r="U7" s="5" t="str">
        <f t="shared" si="2"/>
        <v>| Ortofotografía Aérea | Corresponde al mosaico de fotografías aéreas ortocorregido y/o georeferenciado, modo pancromático o multiespectral. | a | a | a | a |  |</v>
      </c>
      <c r="V7" s="5" t="str">
        <f t="shared" si="0"/>
        <v>| Ortofotografía Aérea | Corresponde al mosaico de fotografías aéreas ortocorregido y/o georeferenciado, modo pancromático o multiespectral. | a | a |a |a | | | | | | | |</v>
      </c>
    </row>
    <row r="8" spans="2:22" ht="46.15" x14ac:dyDescent="0.55000000000000004">
      <c r="B8" s="5" t="s">
        <v>53</v>
      </c>
      <c r="C8" s="5" t="s">
        <v>80</v>
      </c>
      <c r="D8" s="5" t="s">
        <v>48</v>
      </c>
      <c r="E8" s="5" t="s">
        <v>48</v>
      </c>
      <c r="F8" s="5" t="s">
        <v>48</v>
      </c>
      <c r="G8" s="5" t="s">
        <v>48</v>
      </c>
      <c r="H8" s="5"/>
      <c r="I8" s="5"/>
      <c r="J8" s="5"/>
      <c r="K8" s="5"/>
      <c r="L8" s="5"/>
      <c r="M8" s="5"/>
      <c r="N8" s="5"/>
      <c r="O8" s="5"/>
      <c r="P8" s="5" t="str">
        <f t="shared" si="4"/>
        <v>| Modelo Digital del Terreno DTM | Corresponde al DTM en escala de grises, donde cada celda o pixel contiene el valor de elevación en metros sobre el nivel del mar. |</v>
      </c>
      <c r="Q8" s="5" t="str">
        <f t="shared" si="3"/>
        <v>| Modelo Digital del Terreno DTM | Corresponde al DTM en escala de grises, donde cada celda o pixel contiene el valor de elevación en metros sobre el nivel del mar. | a |</v>
      </c>
      <c r="R8" s="5" t="str">
        <f t="shared" si="5"/>
        <v>| Modelo Digital del Terreno DTM | Corresponde al DTM en escala de grises, donde cada celda o pixel contiene el valor de elevación en metros sobre el nivel del mar. | a | a |</v>
      </c>
      <c r="S8" s="5" t="str">
        <f t="shared" si="6"/>
        <v>| Modelo Digital del Terreno DTM | Corresponde al DTM en escala de grises, donde cada celda o pixel contiene el valor de elevación en metros sobre el nivel del mar. | a | a |a |</v>
      </c>
      <c r="T8" s="5" t="str">
        <f t="shared" si="1"/>
        <v>| Modelo Digital del Terreno DTM | Corresponde al DTM en escala de grises, donde cada celda o pixel contiene el valor de elevación en metros sobre el nivel del mar. | a | a |a |a |</v>
      </c>
      <c r="U8" s="5" t="str">
        <f t="shared" si="2"/>
        <v>| Modelo Digital del Terreno DTM | Corresponde al DTM en escala de grises, donde cada celda o pixel contiene el valor de elevación en metros sobre el nivel del mar. | a | a | a | a |  |</v>
      </c>
      <c r="V8" s="5" t="str">
        <f t="shared" si="0"/>
        <v>| Modelo Digital del Terreno DTM | Corresponde al DTM en escala de grises, donde cada celda o pixel contiene el valor de elevación en metros sobre el nivel del mar. | a | a |a |a | | | | | | | |</v>
      </c>
    </row>
    <row r="9" spans="2:22" ht="76.900000000000006" x14ac:dyDescent="0.55000000000000004">
      <c r="B9" s="5" t="s">
        <v>54</v>
      </c>
      <c r="C9" s="5" t="s">
        <v>81</v>
      </c>
      <c r="D9" s="5" t="s">
        <v>48</v>
      </c>
      <c r="E9" s="5" t="s">
        <v>48</v>
      </c>
      <c r="F9" s="5" t="s">
        <v>48</v>
      </c>
      <c r="G9" s="5" t="s">
        <v>48</v>
      </c>
      <c r="H9" s="5"/>
      <c r="I9" s="5"/>
      <c r="J9" s="5"/>
      <c r="K9" s="5"/>
      <c r="L9" s="5"/>
      <c r="M9" s="5"/>
      <c r="N9" s="5"/>
      <c r="O9" s="5"/>
      <c r="P9" s="5" t="str">
        <f t="shared" si="4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</v>
      </c>
      <c r="Q9" s="5" t="str">
        <f t="shared" si="3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 a |</v>
      </c>
      <c r="R9" s="5" t="str">
        <f t="shared" si="5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 a | a |</v>
      </c>
      <c r="S9" s="5" t="str">
        <f t="shared" si="6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 a | a |a |</v>
      </c>
      <c r="T9" s="5" t="str">
        <f t="shared" si="1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 a | a |a |a |</v>
      </c>
      <c r="U9" s="5" t="str">
        <f t="shared" si="2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 a | a | a | a |  |</v>
      </c>
      <c r="V9" s="5" t="str">
        <f t="shared" si="0"/>
        <v>| Modelo Digital de Superficie DSM | Corresponde al Modelo Digital de Superficie (incluye elementos de la cobertura terrestre como por ejemplo cobertura vegetal, edificaciones, etc), en escala de grises, donde cada celda o pixel contiene el valor de elevación en metros sobre el nivel del mar. | a | a |a |a | | | | | | | |</v>
      </c>
    </row>
    <row r="10" spans="2:22" ht="46.15" x14ac:dyDescent="0.55000000000000004">
      <c r="B10" s="5" t="s">
        <v>55</v>
      </c>
      <c r="C10" s="5" t="s">
        <v>82</v>
      </c>
      <c r="D10" s="5" t="s">
        <v>48</v>
      </c>
      <c r="E10" s="5" t="s">
        <v>48</v>
      </c>
      <c r="F10" s="5" t="s">
        <v>48</v>
      </c>
      <c r="G10" s="5" t="s">
        <v>48</v>
      </c>
      <c r="H10" s="5"/>
      <c r="I10" s="5"/>
      <c r="J10" s="5"/>
      <c r="K10" s="5"/>
      <c r="L10" s="5"/>
      <c r="M10" s="5"/>
      <c r="N10" s="5"/>
      <c r="O10" s="5"/>
      <c r="P10" s="5" t="str">
        <f t="shared" si="4"/>
        <v>| Modelo Digital de Pendientes | Corresponde a la superficie o Modelo Digital de Pendientes, en escala de grises, donde cada celda o pixel contiene el valor de pendiente en porcentaje. |</v>
      </c>
      <c r="Q10" s="5" t="str">
        <f t="shared" si="3"/>
        <v>| Modelo Digital de Pendientes | Corresponde a la superficie o Modelo Digital de Pendientes, en escala de grises, donde cada celda o pixel contiene el valor de pendiente en porcentaje. | a |</v>
      </c>
      <c r="R10" s="5" t="str">
        <f t="shared" si="5"/>
        <v>| Modelo Digital de Pendientes | Corresponde a la superficie o Modelo Digital de Pendientes, en escala de grises, donde cada celda o pixel contiene el valor de pendiente en porcentaje. | a | a |</v>
      </c>
      <c r="S10" s="5" t="str">
        <f t="shared" si="6"/>
        <v>| Modelo Digital de Pendientes | Corresponde a la superficie o Modelo Digital de Pendientes, en escala de grises, donde cada celda o pixel contiene el valor de pendiente en porcentaje. | a | a |a |</v>
      </c>
      <c r="T10" s="5" t="str">
        <f t="shared" si="1"/>
        <v>| Modelo Digital de Pendientes | Corresponde a la superficie o Modelo Digital de Pendientes, en escala de grises, donde cada celda o pixel contiene el valor de pendiente en porcentaje. | a | a |a |a |</v>
      </c>
      <c r="U10" s="5" t="str">
        <f t="shared" si="2"/>
        <v>| Modelo Digital de Pendientes | Corresponde a la superficie o Modelo Digital de Pendientes, en escala de grises, donde cada celda o pixel contiene el valor de pendiente en porcentaje. | a | a | a | a |  |</v>
      </c>
      <c r="V10" s="5" t="str">
        <f t="shared" si="0"/>
        <v>| Modelo Digital de Pendientes | Corresponde a la superficie o Modelo Digital de Pendientes, en escala de grises, donde cada celda o pixel contiene el valor de pendiente en porcentaje. | a | a |a |a | | | | | | | |</v>
      </c>
    </row>
    <row r="11" spans="2:22" x14ac:dyDescent="0.55000000000000004">
      <c r="B11" s="5" t="s">
        <v>56</v>
      </c>
      <c r="C11" s="5" t="s">
        <v>83</v>
      </c>
      <c r="D11" s="5" t="s">
        <v>48</v>
      </c>
      <c r="E11" s="5" t="s">
        <v>48</v>
      </c>
      <c r="F11" s="5" t="s">
        <v>48</v>
      </c>
      <c r="G11" s="5" t="s">
        <v>48</v>
      </c>
      <c r="H11" s="5"/>
      <c r="I11" s="5"/>
      <c r="J11" s="5"/>
      <c r="K11" s="5"/>
      <c r="L11" s="5"/>
      <c r="M11" s="5"/>
      <c r="N11" s="5"/>
      <c r="O11" s="5"/>
      <c r="P11" s="5" t="str">
        <f t="shared" si="4"/>
        <v>| Modelo Hidrogeológico | Corresponde al Modelo Hidrogeológico. |</v>
      </c>
      <c r="Q11" s="5" t="str">
        <f t="shared" si="3"/>
        <v>| Modelo Hidrogeológico | Corresponde al Modelo Hidrogeológico. | a |</v>
      </c>
      <c r="R11" s="5" t="str">
        <f t="shared" si="5"/>
        <v>| Modelo Hidrogeológico | Corresponde al Modelo Hidrogeológico. | a | a |</v>
      </c>
      <c r="S11" s="5" t="str">
        <f t="shared" si="6"/>
        <v>| Modelo Hidrogeológico | Corresponde al Modelo Hidrogeológico. | a | a |a |</v>
      </c>
      <c r="T11" s="5" t="str">
        <f t="shared" si="1"/>
        <v>| Modelo Hidrogeológico | Corresponde al Modelo Hidrogeológico. | a | a |a |a |</v>
      </c>
      <c r="U11" s="5" t="str">
        <f t="shared" si="2"/>
        <v>| Modelo Hidrogeológico | Corresponde al Modelo Hidrogeológico. | a | a | a | a |  |</v>
      </c>
      <c r="V11" s="5" t="str">
        <f t="shared" si="0"/>
        <v>| Modelo Hidrogeológico | Corresponde al Modelo Hidrogeológico. | a | a |a |a | | | | | | | |</v>
      </c>
    </row>
    <row r="12" spans="2:22" ht="61.5" x14ac:dyDescent="0.55000000000000004">
      <c r="B12" s="5" t="s">
        <v>57</v>
      </c>
      <c r="C12" s="5" t="s">
        <v>84</v>
      </c>
      <c r="D12" s="5" t="s">
        <v>48</v>
      </c>
      <c r="E12" s="5" t="s">
        <v>48</v>
      </c>
      <c r="F12" s="5" t="s">
        <v>48</v>
      </c>
      <c r="G12" s="5" t="s">
        <v>48</v>
      </c>
      <c r="H12" s="5"/>
      <c r="I12" s="5"/>
      <c r="J12" s="5"/>
      <c r="K12" s="5"/>
      <c r="L12" s="5"/>
      <c r="M12" s="5"/>
      <c r="N12" s="5"/>
      <c r="O12" s="5"/>
      <c r="P12" s="5" t="str">
        <f t="shared" si="4"/>
        <v>| Modelo Digital de Precipitación | Corresponde a la superficie o Modelo Digital de Precipitación, en escala de grises, donde cada celda o pixel contiene el valor de precipitación media multianual en mm/año. |</v>
      </c>
      <c r="Q12" s="5" t="str">
        <f t="shared" si="3"/>
        <v>| Modelo Digital de Precipitación | Corresponde a la superficie o Modelo Digital de Precipitación, en escala de grises, donde cada celda o pixel contiene el valor de precipitación media multianual en mm/año. | a |</v>
      </c>
      <c r="R12" s="5" t="str">
        <f t="shared" si="5"/>
        <v>| Modelo Digital de Precipitación | Corresponde a la superficie o Modelo Digital de Precipitación, en escala de grises, donde cada celda o pixel contiene el valor de precipitación media multianual en mm/año. | a | a |</v>
      </c>
      <c r="S12" s="5" t="str">
        <f t="shared" si="6"/>
        <v>| Modelo Digital de Precipitación | Corresponde a la superficie o Modelo Digital de Precipitación, en escala de grises, donde cada celda o pixel contiene el valor de precipitación media multianual en mm/año. | a | a |a |</v>
      </c>
      <c r="T12" s="5" t="str">
        <f t="shared" si="1"/>
        <v>| Modelo Digital de Precipitación | Corresponde a la superficie o Modelo Digital de Precipitación, en escala de grises, donde cada celda o pixel contiene el valor de precipitación media multianual en mm/año. | a | a |a |a |</v>
      </c>
      <c r="U12" s="5" t="str">
        <f t="shared" si="2"/>
        <v>| Modelo Digital de Precipitación | Corresponde a la superficie o Modelo Digital de Precipitación, en escala de grises, donde cada celda o pixel contiene el valor de precipitación media multianual en mm/año. | a | a | a | a |  |</v>
      </c>
      <c r="V12" s="5" t="str">
        <f t="shared" si="0"/>
        <v>| Modelo Digital de Precipitación | Corresponde a la superficie o Modelo Digital de Precipitación, en escala de grises, donde cada celda o pixel contiene el valor de precipitación media multianual en mm/año. | a | a |a |a | | | | | | | |</v>
      </c>
    </row>
    <row r="13" spans="2:22" ht="61.5" x14ac:dyDescent="0.55000000000000004">
      <c r="B13" s="5" t="s">
        <v>58</v>
      </c>
      <c r="C13" s="5" t="s">
        <v>85</v>
      </c>
      <c r="D13" s="5" t="s">
        <v>48</v>
      </c>
      <c r="E13" s="5" t="s">
        <v>48</v>
      </c>
      <c r="F13" s="5" t="s">
        <v>48</v>
      </c>
      <c r="G13" s="5" t="s">
        <v>48</v>
      </c>
      <c r="H13" s="5"/>
      <c r="I13" s="5"/>
      <c r="J13" s="5"/>
      <c r="K13" s="5"/>
      <c r="L13" s="5"/>
      <c r="M13" s="5"/>
      <c r="N13" s="5"/>
      <c r="O13" s="5"/>
      <c r="P13" s="5" t="str">
        <f t="shared" si="4"/>
        <v>| Modelo Digital de Temperatura | Corresponde a la superficie o Modelo Digital de Temperatura, en escala de grises, donde cada celda o pixel contiene el valor de temperatura media multianual en °C/año. |</v>
      </c>
      <c r="Q13" s="5" t="str">
        <f t="shared" si="3"/>
        <v>| Modelo Digital de Temperatura | Corresponde a la superficie o Modelo Digital de Temperatura, en escala de grises, donde cada celda o pixel contiene el valor de temperatura media multianual en °C/año. | a |</v>
      </c>
      <c r="R13" s="5" t="str">
        <f t="shared" si="5"/>
        <v>| Modelo Digital de Temperatura | Corresponde a la superficie o Modelo Digital de Temperatura, en escala de grises, donde cada celda o pixel contiene el valor de temperatura media multianual en °C/año. | a | a |</v>
      </c>
      <c r="S13" s="5" t="str">
        <f t="shared" si="6"/>
        <v>| Modelo Digital de Temperatura | Corresponde a la superficie o Modelo Digital de Temperatura, en escala de grises, donde cada celda o pixel contiene el valor de temperatura media multianual en °C/año. | a | a |a |</v>
      </c>
      <c r="T13" s="5" t="str">
        <f t="shared" si="1"/>
        <v>| Modelo Digital de Temperatura | Corresponde a la superficie o Modelo Digital de Temperatura, en escala de grises, donde cada celda o pixel contiene el valor de temperatura media multianual en °C/año. | a | a |a |a |</v>
      </c>
      <c r="U13" s="5" t="str">
        <f t="shared" si="2"/>
        <v>| Modelo Digital de Temperatura | Corresponde a la superficie o Modelo Digital de Temperatura, en escala de grises, donde cada celda o pixel contiene el valor de temperatura media multianual en °C/año. | a | a | a | a |  |</v>
      </c>
      <c r="V13" s="5" t="str">
        <f t="shared" si="0"/>
        <v>| Modelo Digital de Temperatura | Corresponde a la superficie o Modelo Digital de Temperatura, en escala de grises, donde cada celda o pixel contiene el valor de temperatura media multianual en °C/año. | a | a |a |a | | | | | | | |</v>
      </c>
    </row>
    <row r="14" spans="2:22" ht="61.5" x14ac:dyDescent="0.55000000000000004">
      <c r="B14" s="5" t="s">
        <v>59</v>
      </c>
      <c r="C14" s="5" t="s">
        <v>86</v>
      </c>
      <c r="D14" s="5" t="s">
        <v>48</v>
      </c>
      <c r="E14" s="5" t="s">
        <v>48</v>
      </c>
      <c r="F14" s="5" t="s">
        <v>48</v>
      </c>
      <c r="G14" s="5" t="s">
        <v>48</v>
      </c>
      <c r="H14" s="5"/>
      <c r="I14" s="5"/>
      <c r="J14" s="5"/>
      <c r="K14" s="5"/>
      <c r="L14" s="5"/>
      <c r="M14" s="5"/>
      <c r="N14" s="5"/>
      <c r="O14" s="5"/>
      <c r="P14" s="5" t="str">
        <f t="shared" si="4"/>
        <v>| Modelo de Dispersión de PST Diario | Corresponde a la superficie o Modelo Digital de Dispersión de PST diario, en escala de grises, donde cada celda o pixel contiene el valor de concentración de PST. |</v>
      </c>
      <c r="Q14" s="5" t="str">
        <f t="shared" si="3"/>
        <v>| Modelo de Dispersión de PST Diario | Corresponde a la superficie o Modelo Digital de Dispersión de PST diario, en escala de grises, donde cada celda o pixel contiene el valor de concentración de PST. | a |</v>
      </c>
      <c r="R14" s="5" t="str">
        <f t="shared" si="5"/>
        <v>| Modelo de Dispersión de PST Diario | Corresponde a la superficie o Modelo Digital de Dispersión de PST diario, en escala de grises, donde cada celda o pixel contiene el valor de concentración de PST. | a | a |</v>
      </c>
      <c r="S14" s="5" t="str">
        <f t="shared" si="6"/>
        <v>| Modelo de Dispersión de PST Diario | Corresponde a la superficie o Modelo Digital de Dispersión de PST diario, en escala de grises, donde cada celda o pixel contiene el valor de concentración de PST. | a | a |a |</v>
      </c>
      <c r="T14" s="5" t="str">
        <f t="shared" si="1"/>
        <v>| Modelo de Dispersión de PST Diario | Corresponde a la superficie o Modelo Digital de Dispersión de PST diario, en escala de grises, donde cada celda o pixel contiene el valor de concentración de PST. | a | a |a |a |</v>
      </c>
      <c r="U14" s="5" t="str">
        <f t="shared" si="2"/>
        <v>| Modelo de Dispersión de PST Diario | Corresponde a la superficie o Modelo Digital de Dispersión de PST diario, en escala de grises, donde cada celda o pixel contiene el valor de concentración de PST. | a | a | a | a |  |</v>
      </c>
      <c r="V14" s="5" t="str">
        <f t="shared" si="0"/>
        <v>| Modelo de Dispersión de PST Diario | Corresponde a la superficie o Modelo Digital de Dispersión de PST diario, en escala de grises, donde cada celda o pixel contiene el valor de concentración de PST. | a | a |a |a | | | | | | | |</v>
      </c>
    </row>
    <row r="15" spans="2:22" ht="61.5" x14ac:dyDescent="0.55000000000000004">
      <c r="B15" s="5" t="s">
        <v>60</v>
      </c>
      <c r="C15" s="5" t="s">
        <v>87</v>
      </c>
      <c r="D15" s="5" t="s">
        <v>48</v>
      </c>
      <c r="E15" s="5" t="s">
        <v>48</v>
      </c>
      <c r="F15" s="5" t="s">
        <v>48</v>
      </c>
      <c r="G15" s="5" t="s">
        <v>48</v>
      </c>
      <c r="H15" s="5"/>
      <c r="I15" s="5"/>
      <c r="J15" s="5"/>
      <c r="K15" s="5"/>
      <c r="L15" s="5"/>
      <c r="M15" s="5"/>
      <c r="N15" s="5"/>
      <c r="O15" s="5"/>
      <c r="P15" s="5" t="str">
        <f t="shared" si="4"/>
        <v>| Modelo de Dispersión de PST Anual | Corresponde a la superficie o Modelo Digital de Dispersión de PST anual, en escala de grises, donde cada celda o pixel contiene el valor de concentración de PST. |</v>
      </c>
      <c r="Q15" s="5" t="str">
        <f t="shared" si="3"/>
        <v>| Modelo de Dispersión de PST Anual | Corresponde a la superficie o Modelo Digital de Dispersión de PST anual, en escala de grises, donde cada celda o pixel contiene el valor de concentración de PST. | a |</v>
      </c>
      <c r="R15" s="5" t="str">
        <f t="shared" si="5"/>
        <v>| Modelo de Dispersión de PST Anual | Corresponde a la superficie o Modelo Digital de Dispersión de PST anual, en escala de grises, donde cada celda o pixel contiene el valor de concentración de PST. | a | a |</v>
      </c>
      <c r="S15" s="5" t="str">
        <f t="shared" si="6"/>
        <v>| Modelo de Dispersión de PST Anual | Corresponde a la superficie o Modelo Digital de Dispersión de PST anual, en escala de grises, donde cada celda o pixel contiene el valor de concentración de PST. | a | a |a |</v>
      </c>
      <c r="T15" s="5" t="str">
        <f t="shared" si="1"/>
        <v>| Modelo de Dispersión de PST Anual | Corresponde a la superficie o Modelo Digital de Dispersión de PST anual, en escala de grises, donde cada celda o pixel contiene el valor de concentración de PST. | a | a |a |a |</v>
      </c>
      <c r="U15" s="5" t="str">
        <f t="shared" si="2"/>
        <v>| Modelo de Dispersión de PST Anual | Corresponde a la superficie o Modelo Digital de Dispersión de PST anual, en escala de grises, donde cada celda o pixel contiene el valor de concentración de PST. | a | a | a | a |  |</v>
      </c>
      <c r="V15" s="5" t="str">
        <f t="shared" si="0"/>
        <v>| Modelo de Dispersión de PST Anual | Corresponde a la superficie o Modelo Digital de Dispersión de PST anual, en escala de grises, donde cada celda o pixel contiene el valor de concentración de PST. | a | a |a |a | | | | | | | |</v>
      </c>
    </row>
    <row r="16" spans="2:22" ht="61.5" x14ac:dyDescent="0.55000000000000004">
      <c r="B16" s="5" t="s">
        <v>61</v>
      </c>
      <c r="C16" s="5" t="s">
        <v>88</v>
      </c>
      <c r="D16" s="5" t="s">
        <v>48</v>
      </c>
      <c r="E16" s="5" t="s">
        <v>48</v>
      </c>
      <c r="F16" s="5" t="s">
        <v>48</v>
      </c>
      <c r="G16" s="5" t="s">
        <v>48</v>
      </c>
      <c r="H16" s="5"/>
      <c r="I16" s="5"/>
      <c r="J16" s="5"/>
      <c r="K16" s="5"/>
      <c r="L16" s="5"/>
      <c r="M16" s="5"/>
      <c r="N16" s="5"/>
      <c r="O16" s="5"/>
      <c r="P16" s="5" t="str">
        <f t="shared" si="4"/>
        <v>| Modelo de Dispersión de PM10 Diario | Corresponde a la superficie o Modelo Digital de Dispersión de PM10 diario, en escala de grises, donde cada celda o pixel contiene el valor de concentración de PM10. |</v>
      </c>
      <c r="Q16" s="5" t="str">
        <f t="shared" si="3"/>
        <v>| Modelo de Dispersión de PM10 Diario | Corresponde a la superficie o Modelo Digital de Dispersión de PM10 diario, en escala de grises, donde cada celda o pixel contiene el valor de concentración de PM10. | a |</v>
      </c>
      <c r="R16" s="5" t="str">
        <f t="shared" si="5"/>
        <v>| Modelo de Dispersión de PM10 Diario | Corresponde a la superficie o Modelo Digital de Dispersión de PM10 diario, en escala de grises, donde cada celda o pixel contiene el valor de concentración de PM10. | a | a |</v>
      </c>
      <c r="S16" s="5" t="str">
        <f t="shared" si="6"/>
        <v>| Modelo de Dispersión de PM10 Diario | Corresponde a la superficie o Modelo Digital de Dispersión de PM10 diario, en escala de grises, donde cada celda o pixel contiene el valor de concentración de PM10. | a | a |a |</v>
      </c>
      <c r="T16" s="5" t="str">
        <f t="shared" si="1"/>
        <v>| Modelo de Dispersión de PM10 Diario | Corresponde a la superficie o Modelo Digital de Dispersión de PM10 diario, en escala de grises, donde cada celda o pixel contiene el valor de concentración de PM10. | a | a |a |a |</v>
      </c>
      <c r="U16" s="5" t="str">
        <f t="shared" si="2"/>
        <v>| Modelo de Dispersión de PM10 Diario | Corresponde a la superficie o Modelo Digital de Dispersión de PM10 diario, en escala de grises, donde cada celda o pixel contiene el valor de concentración de PM10. | a | a | a | a |  |</v>
      </c>
      <c r="V16" s="5" t="str">
        <f t="shared" si="0"/>
        <v>| Modelo de Dispersión de PM10 Diario | Corresponde a la superficie o Modelo Digital de Dispersión de PM10 diario, en escala de grises, donde cada celda o pixel contiene el valor de concentración de PM10. | a | a |a |a | | | | | | | |</v>
      </c>
    </row>
    <row r="17" spans="2:22" ht="61.5" x14ac:dyDescent="0.55000000000000004">
      <c r="B17" s="5" t="s">
        <v>62</v>
      </c>
      <c r="C17" s="5" t="s">
        <v>89</v>
      </c>
      <c r="D17" s="5" t="s">
        <v>48</v>
      </c>
      <c r="E17" s="5" t="s">
        <v>48</v>
      </c>
      <c r="F17" s="5" t="s">
        <v>48</v>
      </c>
      <c r="G17" s="5" t="s">
        <v>48</v>
      </c>
      <c r="H17" s="5"/>
      <c r="I17" s="5"/>
      <c r="J17" s="5"/>
      <c r="K17" s="5"/>
      <c r="L17" s="5"/>
      <c r="M17" s="5"/>
      <c r="N17" s="5"/>
      <c r="O17" s="5"/>
      <c r="P17" s="5" t="str">
        <f t="shared" si="4"/>
        <v>| Modelo de Dispersión de PM10 Anual | Corresponde a la superficie o Modelo Digital de Dispersión de PM10 anual, en escala de grises, donde cada celda o pixel contiene el valor de concentración de PM10. |</v>
      </c>
      <c r="Q17" s="5" t="str">
        <f t="shared" si="3"/>
        <v>| Modelo de Dispersión de PM10 Anual | Corresponde a la superficie o Modelo Digital de Dispersión de PM10 anual, en escala de grises, donde cada celda o pixel contiene el valor de concentración de PM10. | a |</v>
      </c>
      <c r="R17" s="5" t="str">
        <f t="shared" si="5"/>
        <v>| Modelo de Dispersión de PM10 Anual | Corresponde a la superficie o Modelo Digital de Dispersión de PM10 anual, en escala de grises, donde cada celda o pixel contiene el valor de concentración de PM10. | a | a |</v>
      </c>
      <c r="S17" s="5" t="str">
        <f t="shared" si="6"/>
        <v>| Modelo de Dispersión de PM10 Anual | Corresponde a la superficie o Modelo Digital de Dispersión de PM10 anual, en escala de grises, donde cada celda o pixel contiene el valor de concentración de PM10. | a | a |a |</v>
      </c>
      <c r="T17" s="5" t="str">
        <f t="shared" si="1"/>
        <v>| Modelo de Dispersión de PM10 Anual | Corresponde a la superficie o Modelo Digital de Dispersión de PM10 anual, en escala de grises, donde cada celda o pixel contiene el valor de concentración de PM10. | a | a |a |a |</v>
      </c>
      <c r="U17" s="5" t="str">
        <f t="shared" si="2"/>
        <v>| Modelo de Dispersión de PM10 Anual | Corresponde a la superficie o Modelo Digital de Dispersión de PM10 anual, en escala de grises, donde cada celda o pixel contiene el valor de concentración de PM10. | a | a | a | a |  |</v>
      </c>
      <c r="V17" s="5" t="str">
        <f t="shared" si="0"/>
        <v>| Modelo de Dispersión de PM10 Anual | Corresponde a la superficie o Modelo Digital de Dispersión de PM10 anual, en escala de grises, donde cada celda o pixel contiene el valor de concentración de PM10. | a | a |a |a | | | | | | | |</v>
      </c>
    </row>
    <row r="18" spans="2:22" ht="61.5" x14ac:dyDescent="0.55000000000000004">
      <c r="B18" s="5" t="s">
        <v>63</v>
      </c>
      <c r="C18" s="5" t="s">
        <v>90</v>
      </c>
      <c r="D18" s="5" t="s">
        <v>48</v>
      </c>
      <c r="E18" s="5" t="s">
        <v>48</v>
      </c>
      <c r="F18" s="5" t="s">
        <v>48</v>
      </c>
      <c r="G18" s="5" t="s">
        <v>48</v>
      </c>
      <c r="H18" s="5"/>
      <c r="I18" s="5"/>
      <c r="J18" s="5"/>
      <c r="K18" s="5"/>
      <c r="L18" s="5"/>
      <c r="M18" s="5"/>
      <c r="N18" s="5"/>
      <c r="O18" s="5"/>
      <c r="P18" s="5" t="str">
        <f t="shared" si="4"/>
        <v>| Modelo de Dispersión de PM2.5 Diario | Corresponde a la superficie o Modelo Digital de Dispersión de PM2.5 diario, en escala de grises, donde cada celda o pixel contiene el valor de concentración de PM2.5. |</v>
      </c>
      <c r="Q18" s="5" t="str">
        <f t="shared" si="3"/>
        <v>| Modelo de Dispersión de PM2.5 Diario | Corresponde a la superficie o Modelo Digital de Dispersión de PM2.5 diario, en escala de grises, donde cada celda o pixel contiene el valor de concentración de PM2.5. | a |</v>
      </c>
      <c r="R18" s="5" t="str">
        <f t="shared" si="5"/>
        <v>| Modelo de Dispersión de PM2.5 Diario | Corresponde a la superficie o Modelo Digital de Dispersión de PM2.5 diario, en escala de grises, donde cada celda o pixel contiene el valor de concentración de PM2.5. | a | a |</v>
      </c>
      <c r="S18" s="5" t="str">
        <f t="shared" si="6"/>
        <v>| Modelo de Dispersión de PM2.5 Diario | Corresponde a la superficie o Modelo Digital de Dispersión de PM2.5 diario, en escala de grises, donde cada celda o pixel contiene el valor de concentración de PM2.5. | a | a |a |</v>
      </c>
      <c r="T18" s="5" t="str">
        <f t="shared" si="1"/>
        <v>| Modelo de Dispersión de PM2.5 Diario | Corresponde a la superficie o Modelo Digital de Dispersión de PM2.5 diario, en escala de grises, donde cada celda o pixel contiene el valor de concentración de PM2.5. | a | a |a |a |</v>
      </c>
      <c r="U18" s="5" t="str">
        <f t="shared" si="2"/>
        <v>| Modelo de Dispersión de PM2.5 Diario | Corresponde a la superficie o Modelo Digital de Dispersión de PM2.5 diario, en escala de grises, donde cada celda o pixel contiene el valor de concentración de PM2.5. | a | a | a | a |  |</v>
      </c>
      <c r="V18" s="5" t="str">
        <f t="shared" si="0"/>
        <v>| Modelo de Dispersión de PM2.5 Diario | Corresponde a la superficie o Modelo Digital de Dispersión de PM2.5 diario, en escala de grises, donde cada celda o pixel contiene el valor de concentración de PM2.5. | a | a |a |a | | | | | | | |</v>
      </c>
    </row>
    <row r="19" spans="2:22" ht="61.5" x14ac:dyDescent="0.55000000000000004">
      <c r="B19" s="5" t="s">
        <v>64</v>
      </c>
      <c r="C19" s="5" t="s">
        <v>91</v>
      </c>
      <c r="D19" s="5" t="s">
        <v>48</v>
      </c>
      <c r="E19" s="5" t="s">
        <v>48</v>
      </c>
      <c r="F19" s="5" t="s">
        <v>48</v>
      </c>
      <c r="G19" s="5" t="s">
        <v>48</v>
      </c>
      <c r="H19" s="5"/>
      <c r="I19" s="5"/>
      <c r="J19" s="5"/>
      <c r="K19" s="5"/>
      <c r="L19" s="5"/>
      <c r="M19" s="5"/>
      <c r="N19" s="5"/>
      <c r="O19" s="5"/>
      <c r="P19" s="5" t="str">
        <f t="shared" si="4"/>
        <v>| Modelo de Dispersión de PM2.5 Anual | Corresponde a la superficie o Modelo Digital de Dispersión de PM2.5 anual, en escala de grises, donde cada celda o pixel contiene el valor de concentración de PM2.5. |</v>
      </c>
      <c r="Q19" s="5" t="str">
        <f t="shared" si="3"/>
        <v>| Modelo de Dispersión de PM2.5 Anual | Corresponde a la superficie o Modelo Digital de Dispersión de PM2.5 anual, en escala de grises, donde cada celda o pixel contiene el valor de concentración de PM2.5. | a |</v>
      </c>
      <c r="R19" s="5" t="str">
        <f t="shared" si="5"/>
        <v>| Modelo de Dispersión de PM2.5 Anual | Corresponde a la superficie o Modelo Digital de Dispersión de PM2.5 anual, en escala de grises, donde cada celda o pixel contiene el valor de concentración de PM2.5. | a | a |</v>
      </c>
      <c r="S19" s="5" t="str">
        <f t="shared" si="6"/>
        <v>| Modelo de Dispersión de PM2.5 Anual | Corresponde a la superficie o Modelo Digital de Dispersión de PM2.5 anual, en escala de grises, donde cada celda o pixel contiene el valor de concentración de PM2.5. | a | a |a |</v>
      </c>
      <c r="T19" s="5" t="str">
        <f t="shared" si="1"/>
        <v>| Modelo de Dispersión de PM2.5 Anual | Corresponde a la superficie o Modelo Digital de Dispersión de PM2.5 anual, en escala de grises, donde cada celda o pixel contiene el valor de concentración de PM2.5. | a | a |a |a |</v>
      </c>
      <c r="U19" s="5" t="str">
        <f t="shared" si="2"/>
        <v>| Modelo de Dispersión de PM2.5 Anual | Corresponde a la superficie o Modelo Digital de Dispersión de PM2.5 anual, en escala de grises, donde cada celda o pixel contiene el valor de concentración de PM2.5. | a | a | a | a |  |</v>
      </c>
      <c r="V19" s="5" t="str">
        <f t="shared" si="0"/>
        <v>| Modelo de Dispersión de PM2.5 Anual | Corresponde a la superficie o Modelo Digital de Dispersión de PM2.5 anual, en escala de grises, donde cada celda o pixel contiene el valor de concentración de PM2.5. | a | a |a |a | | | | | | | |</v>
      </c>
    </row>
    <row r="20" spans="2:22" ht="61.5" x14ac:dyDescent="0.55000000000000004">
      <c r="B20" s="5" t="s">
        <v>65</v>
      </c>
      <c r="C20" s="5" t="s">
        <v>92</v>
      </c>
      <c r="D20" s="5" t="s">
        <v>48</v>
      </c>
      <c r="E20" s="5" t="s">
        <v>48</v>
      </c>
      <c r="F20" s="5" t="s">
        <v>48</v>
      </c>
      <c r="G20" s="5" t="s">
        <v>48</v>
      </c>
      <c r="H20" s="5"/>
      <c r="I20" s="5"/>
      <c r="J20" s="5"/>
      <c r="K20" s="5"/>
      <c r="L20" s="5"/>
      <c r="M20" s="5"/>
      <c r="N20" s="5"/>
      <c r="O20" s="5"/>
      <c r="P20" s="5" t="str">
        <f t="shared" si="4"/>
        <v>| Modelo de Dispersión de SO2 Anual | Corresponde a la superficie o Modelo Digital de Dispersión de SO2 anual, en escala de grises, donde cada celda o pixel contiene el valor de concentración de SO2. |</v>
      </c>
      <c r="Q20" s="5" t="str">
        <f t="shared" si="3"/>
        <v>| Modelo de Dispersión de SO2 Anual | Corresponde a la superficie o Modelo Digital de Dispersión de SO2 anual, en escala de grises, donde cada celda o pixel contiene el valor de concentración de SO2. | a |</v>
      </c>
      <c r="R20" s="5" t="str">
        <f t="shared" si="5"/>
        <v>| Modelo de Dispersión de SO2 Anual | Corresponde a la superficie o Modelo Digital de Dispersión de SO2 anual, en escala de grises, donde cada celda o pixel contiene el valor de concentración de SO2. | a | a |</v>
      </c>
      <c r="S20" s="5" t="str">
        <f t="shared" si="6"/>
        <v>| Modelo de Dispersión de SO2 Anual | Corresponde a la superficie o Modelo Digital de Dispersión de SO2 anual, en escala de grises, donde cada celda o pixel contiene el valor de concentración de SO2. | a | a |a |</v>
      </c>
      <c r="T20" s="5" t="str">
        <f t="shared" si="1"/>
        <v>| Modelo de Dispersión de SO2 Anual | Corresponde a la superficie o Modelo Digital de Dispersión de SO2 anual, en escala de grises, donde cada celda o pixel contiene el valor de concentración de SO2. | a | a |a |a |</v>
      </c>
      <c r="U20" s="5" t="str">
        <f t="shared" si="2"/>
        <v>| Modelo de Dispersión de SO2 Anual | Corresponde a la superficie o Modelo Digital de Dispersión de SO2 anual, en escala de grises, donde cada celda o pixel contiene el valor de concentración de SO2. | a | a | a | a |  |</v>
      </c>
      <c r="V20" s="5" t="str">
        <f t="shared" si="0"/>
        <v>| Modelo de Dispersión de SO2 Anual | Corresponde a la superficie o Modelo Digital de Dispersión de SO2 anual, en escala de grises, donde cada celda o pixel contiene el valor de concentración de SO2. | a | a |a |a | | | | | | | |</v>
      </c>
    </row>
    <row r="21" spans="2:22" ht="61.5" x14ac:dyDescent="0.55000000000000004">
      <c r="B21" s="5" t="s">
        <v>66</v>
      </c>
      <c r="C21" s="5" t="s">
        <v>93</v>
      </c>
      <c r="D21" s="5" t="s">
        <v>48</v>
      </c>
      <c r="E21" s="5" t="s">
        <v>48</v>
      </c>
      <c r="F21" s="5" t="s">
        <v>48</v>
      </c>
      <c r="G21" s="5" t="s">
        <v>48</v>
      </c>
      <c r="H21" s="5"/>
      <c r="I21" s="5"/>
      <c r="J21" s="5"/>
      <c r="K21" s="5"/>
      <c r="L21" s="5"/>
      <c r="M21" s="5"/>
      <c r="N21" s="5"/>
      <c r="O21" s="5"/>
      <c r="P21" s="5" t="str">
        <f t="shared" si="4"/>
        <v>| Modelo de Dispersión de SO2 Diario | Corresponde a la superficie o Modelo Digital de Dispersión de SO2 diario, en escala de grises, donde cada celda o pixel contiene el valor de concentración de SO2. |</v>
      </c>
      <c r="Q21" s="5" t="str">
        <f t="shared" si="3"/>
        <v>| Modelo de Dispersión de SO2 Diario | Corresponde a la superficie o Modelo Digital de Dispersión de SO2 diario, en escala de grises, donde cada celda o pixel contiene el valor de concentración de SO2. | a |</v>
      </c>
      <c r="R21" s="5" t="str">
        <f t="shared" si="5"/>
        <v>| Modelo de Dispersión de SO2 Diario | Corresponde a la superficie o Modelo Digital de Dispersión de SO2 diario, en escala de grises, donde cada celda o pixel contiene el valor de concentración de SO2. | a | a |</v>
      </c>
      <c r="S21" s="5" t="str">
        <f t="shared" si="6"/>
        <v>| Modelo de Dispersión de SO2 Diario | Corresponde a la superficie o Modelo Digital de Dispersión de SO2 diario, en escala de grises, donde cada celda o pixel contiene el valor de concentración de SO2. | a | a |a |</v>
      </c>
      <c r="T21" s="5" t="str">
        <f t="shared" si="1"/>
        <v>| Modelo de Dispersión de SO2 Diario | Corresponde a la superficie o Modelo Digital de Dispersión de SO2 diario, en escala de grises, donde cada celda o pixel contiene el valor de concentración de SO2. | a | a |a |a |</v>
      </c>
      <c r="U21" s="5" t="str">
        <f t="shared" si="2"/>
        <v>| Modelo de Dispersión de SO2 Diario | Corresponde a la superficie o Modelo Digital de Dispersión de SO2 diario, en escala de grises, donde cada celda o pixel contiene el valor de concentración de SO2. | a | a | a | a |  |</v>
      </c>
      <c r="V21" s="5" t="str">
        <f t="shared" si="0"/>
        <v>| Modelo de Dispersión de SO2 Diario | Corresponde a la superficie o Modelo Digital de Dispersión de SO2 diario, en escala de grises, donde cada celda o pixel contiene el valor de concentración de SO2. | a | a |a |a | | | | | | | |</v>
      </c>
    </row>
    <row r="22" spans="2:22" ht="61.5" x14ac:dyDescent="0.55000000000000004">
      <c r="B22" s="5" t="s">
        <v>67</v>
      </c>
      <c r="C22" s="5" t="s">
        <v>94</v>
      </c>
      <c r="D22" s="5" t="s">
        <v>48</v>
      </c>
      <c r="E22" s="5" t="s">
        <v>48</v>
      </c>
      <c r="F22" s="5" t="s">
        <v>48</v>
      </c>
      <c r="G22" s="5" t="s">
        <v>48</v>
      </c>
      <c r="H22" s="5"/>
      <c r="I22" s="5"/>
      <c r="J22" s="5"/>
      <c r="K22" s="5"/>
      <c r="L22" s="5"/>
      <c r="M22" s="5"/>
      <c r="N22" s="5"/>
      <c r="O22" s="5"/>
      <c r="P22" s="5" t="str">
        <f t="shared" si="4"/>
        <v>| Modelo de Dispersión de SO2 a 3 horas | Corresponde a la superficie o Modelo Digital de Dispersión de SO2 a tres horas, en escala de grises, donde cada celda o pixel contiene el valor de concentración de SO2. |</v>
      </c>
      <c r="Q22" s="5" t="str">
        <f t="shared" si="3"/>
        <v>| Modelo de Dispersión de SO2 a 3 horas | Corresponde a la superficie o Modelo Digital de Dispersión de SO2 a tres horas, en escala de grises, donde cada celda o pixel contiene el valor de concentración de SO2. | a |</v>
      </c>
      <c r="R22" s="5" t="str">
        <f t="shared" si="5"/>
        <v>| Modelo de Dispersión de SO2 a 3 horas | Corresponde a la superficie o Modelo Digital de Dispersión de SO2 a tres horas, en escala de grises, donde cada celda o pixel contiene el valor de concentración de SO2. | a | a |</v>
      </c>
      <c r="S22" s="5" t="str">
        <f t="shared" si="6"/>
        <v>| Modelo de Dispersión de SO2 a 3 horas | Corresponde a la superficie o Modelo Digital de Dispersión de SO2 a tres horas, en escala de grises, donde cada celda o pixel contiene el valor de concentración de SO2. | a | a |a |</v>
      </c>
      <c r="T22" s="5" t="str">
        <f t="shared" si="1"/>
        <v>| Modelo de Dispersión de SO2 a 3 horas | Corresponde a la superficie o Modelo Digital de Dispersión de SO2 a tres horas, en escala de grises, donde cada celda o pixel contiene el valor de concentración de SO2. | a | a |a |a |</v>
      </c>
      <c r="U22" s="5" t="str">
        <f t="shared" si="2"/>
        <v>| Modelo de Dispersión de SO2 a 3 horas | Corresponde a la superficie o Modelo Digital de Dispersión de SO2 a tres horas, en escala de grises, donde cada celda o pixel contiene el valor de concentración de SO2. | a | a | a | a |  |</v>
      </c>
      <c r="V22" s="5" t="str">
        <f t="shared" si="0"/>
        <v>| Modelo de Dispersión de SO2 a 3 horas | Corresponde a la superficie o Modelo Digital de Dispersión de SO2 a tres horas, en escala de grises, donde cada celda o pixel contiene el valor de concentración de SO2. | a | a |a |a | | | | | | | |</v>
      </c>
    </row>
    <row r="23" spans="2:22" ht="61.5" x14ac:dyDescent="0.55000000000000004">
      <c r="B23" s="5" t="s">
        <v>68</v>
      </c>
      <c r="C23" s="5" t="s">
        <v>95</v>
      </c>
      <c r="D23" s="5" t="s">
        <v>48</v>
      </c>
      <c r="E23" s="5" t="s">
        <v>48</v>
      </c>
      <c r="F23" s="5" t="s">
        <v>48</v>
      </c>
      <c r="G23" s="5" t="s">
        <v>48</v>
      </c>
      <c r="H23" s="5"/>
      <c r="I23" s="5"/>
      <c r="J23" s="5"/>
      <c r="K23" s="5"/>
      <c r="L23" s="5"/>
      <c r="M23" s="5"/>
      <c r="N23" s="5"/>
      <c r="O23" s="5"/>
      <c r="P23" s="5" t="str">
        <f t="shared" si="4"/>
        <v>| Modelo de Dispersión de NO2 Anual | Corresponde a la superficie o Modelo Digital de Dispersión de NO2 anual, en escala de grises, donde cada celda o pixel contiene el valor de concentración de NO2. |</v>
      </c>
      <c r="Q23" s="5" t="str">
        <f t="shared" si="3"/>
        <v>| Modelo de Dispersión de NO2 Anual | Corresponde a la superficie o Modelo Digital de Dispersión de NO2 anual, en escala de grises, donde cada celda o pixel contiene el valor de concentración de NO2. | a |</v>
      </c>
      <c r="R23" s="5" t="str">
        <f t="shared" si="5"/>
        <v>| Modelo de Dispersión de NO2 Anual | Corresponde a la superficie o Modelo Digital de Dispersión de NO2 anual, en escala de grises, donde cada celda o pixel contiene el valor de concentración de NO2. | a | a |</v>
      </c>
      <c r="S23" s="5" t="str">
        <f t="shared" si="6"/>
        <v>| Modelo de Dispersión de NO2 Anual | Corresponde a la superficie o Modelo Digital de Dispersión de NO2 anual, en escala de grises, donde cada celda o pixel contiene el valor de concentración de NO2. | a | a |a |</v>
      </c>
      <c r="T23" s="5" t="str">
        <f t="shared" si="1"/>
        <v>| Modelo de Dispersión de NO2 Anual | Corresponde a la superficie o Modelo Digital de Dispersión de NO2 anual, en escala de grises, donde cada celda o pixel contiene el valor de concentración de NO2. | a | a |a |a |</v>
      </c>
      <c r="U23" s="5" t="str">
        <f t="shared" si="2"/>
        <v>| Modelo de Dispersión de NO2 Anual | Corresponde a la superficie o Modelo Digital de Dispersión de NO2 anual, en escala de grises, donde cada celda o pixel contiene el valor de concentración de NO2. | a | a | a | a |  |</v>
      </c>
      <c r="V23" s="5" t="str">
        <f t="shared" si="0"/>
        <v>| Modelo de Dispersión de NO2 Anual | Corresponde a la superficie o Modelo Digital de Dispersión de NO2 anual, en escala de grises, donde cada celda o pixel contiene el valor de concentración de NO2. | a | a |a |a | | | | | | | |</v>
      </c>
    </row>
    <row r="24" spans="2:22" ht="61.5" x14ac:dyDescent="0.55000000000000004">
      <c r="B24" s="5" t="s">
        <v>69</v>
      </c>
      <c r="C24" s="5" t="s">
        <v>96</v>
      </c>
      <c r="D24" s="5" t="s">
        <v>48</v>
      </c>
      <c r="E24" s="5" t="s">
        <v>48</v>
      </c>
      <c r="F24" s="5" t="s">
        <v>48</v>
      </c>
      <c r="G24" s="5" t="s">
        <v>48</v>
      </c>
      <c r="H24" s="5"/>
      <c r="I24" s="5"/>
      <c r="J24" s="5"/>
      <c r="K24" s="5"/>
      <c r="L24" s="5"/>
      <c r="M24" s="5"/>
      <c r="N24" s="5"/>
      <c r="O24" s="5"/>
      <c r="P24" s="5" t="str">
        <f t="shared" si="4"/>
        <v>| Modelo de Dispersión de NO2 Diario | Corresponde a la superficie o Modelo Digital de Dispersión de NO2 diario, en escala de grises, donde cada celda o pixel contiene el valor de concentración de NO2. |</v>
      </c>
      <c r="Q24" s="5" t="str">
        <f t="shared" si="3"/>
        <v>| Modelo de Dispersión de NO2 Diario | Corresponde a la superficie o Modelo Digital de Dispersión de NO2 diario, en escala de grises, donde cada celda o pixel contiene el valor de concentración de NO2. | a |</v>
      </c>
      <c r="R24" s="5" t="str">
        <f t="shared" si="5"/>
        <v>| Modelo de Dispersión de NO2 Diario | Corresponde a la superficie o Modelo Digital de Dispersión de NO2 diario, en escala de grises, donde cada celda o pixel contiene el valor de concentración de NO2. | a | a |</v>
      </c>
      <c r="S24" s="5" t="str">
        <f t="shared" si="6"/>
        <v>| Modelo de Dispersión de NO2 Diario | Corresponde a la superficie o Modelo Digital de Dispersión de NO2 diario, en escala de grises, donde cada celda o pixel contiene el valor de concentración de NO2. | a | a |a |</v>
      </c>
      <c r="T24" s="5" t="str">
        <f t="shared" si="1"/>
        <v>| Modelo de Dispersión de NO2 Diario | Corresponde a la superficie o Modelo Digital de Dispersión de NO2 diario, en escala de grises, donde cada celda o pixel contiene el valor de concentración de NO2. | a | a |a |a |</v>
      </c>
      <c r="U24" s="5" t="str">
        <f t="shared" si="2"/>
        <v>| Modelo de Dispersión de NO2 Diario | Corresponde a la superficie o Modelo Digital de Dispersión de NO2 diario, en escala de grises, donde cada celda o pixel contiene el valor de concentración de NO2. | a | a | a | a |  |</v>
      </c>
      <c r="V24" s="5" t="str">
        <f t="shared" si="0"/>
        <v>| Modelo de Dispersión de NO2 Diario | Corresponde a la superficie o Modelo Digital de Dispersión de NO2 diario, en escala de grises, donde cada celda o pixel contiene el valor de concentración de NO2. | a | a |a |a | | | | | | | |</v>
      </c>
    </row>
    <row r="25" spans="2:22" ht="61.5" x14ac:dyDescent="0.55000000000000004">
      <c r="B25" s="5" t="s">
        <v>70</v>
      </c>
      <c r="C25" s="5" t="s">
        <v>97</v>
      </c>
      <c r="D25" s="5" t="s">
        <v>48</v>
      </c>
      <c r="E25" s="5" t="s">
        <v>48</v>
      </c>
      <c r="F25" s="5" t="s">
        <v>48</v>
      </c>
      <c r="G25" s="5" t="s">
        <v>48</v>
      </c>
      <c r="H25" s="5"/>
      <c r="I25" s="5"/>
      <c r="J25" s="5"/>
      <c r="K25" s="5"/>
      <c r="L25" s="5"/>
      <c r="M25" s="4"/>
      <c r="N25" s="4"/>
      <c r="O25" s="4"/>
      <c r="P25" s="5" t="str">
        <f t="shared" si="4"/>
        <v>| Modelo de Dispersión de NO2 a 1 hora | Corresponde a la superficie o Modelo Digital de Dispersión de NO2 a 1 hora, en escala de grises, donde cada celda o pixel contiene el valor de concentración de NO2. |</v>
      </c>
      <c r="Q25" s="5" t="str">
        <f t="shared" si="3"/>
        <v>| Modelo de Dispersión de NO2 a 1 hora | Corresponde a la superficie o Modelo Digital de Dispersión de NO2 a 1 hora, en escala de grises, donde cada celda o pixel contiene el valor de concentración de NO2. | a |</v>
      </c>
      <c r="R25" s="5" t="str">
        <f t="shared" si="5"/>
        <v>| Modelo de Dispersión de NO2 a 1 hora | Corresponde a la superficie o Modelo Digital de Dispersión de NO2 a 1 hora, en escala de grises, donde cada celda o pixel contiene el valor de concentración de NO2. | a | a |</v>
      </c>
      <c r="S25" s="5" t="str">
        <f t="shared" si="6"/>
        <v>| Modelo de Dispersión de NO2 a 1 hora | Corresponde a la superficie o Modelo Digital de Dispersión de NO2 a 1 hora, en escala de grises, donde cada celda o pixel contiene el valor de concentración de NO2. | a | a |a |</v>
      </c>
      <c r="T25" s="5" t="str">
        <f t="shared" si="1"/>
        <v>| Modelo de Dispersión de NO2 a 1 hora | Corresponde a la superficie o Modelo Digital de Dispersión de NO2 a 1 hora, en escala de grises, donde cada celda o pixel contiene el valor de concentración de NO2. | a | a |a |a |</v>
      </c>
      <c r="U25" s="5" t="str">
        <f t="shared" si="2"/>
        <v>| Modelo de Dispersión de NO2 a 1 hora | Corresponde a la superficie o Modelo Digital de Dispersión de NO2 a 1 hora, en escala de grises, donde cada celda o pixel contiene el valor de concentración de NO2. | a | a | a | a |  |</v>
      </c>
      <c r="V25" s="5" t="str">
        <f t="shared" si="0"/>
        <v>| Modelo de Dispersión de NO2 a 1 hora | Corresponde a la superficie o Modelo Digital de Dispersión de NO2 a 1 hora, en escala de grises, donde cada celda o pixel contiene el valor de concentración de NO2. | a | a |a |a | | | | | | | |</v>
      </c>
    </row>
    <row r="26" spans="2:22" ht="61.5" x14ac:dyDescent="0.55000000000000004">
      <c r="B26" s="4" t="s">
        <v>71</v>
      </c>
      <c r="C26" s="4" t="s">
        <v>98</v>
      </c>
      <c r="D26" s="5" t="s">
        <v>48</v>
      </c>
      <c r="E26" s="5" t="s">
        <v>48</v>
      </c>
      <c r="F26" s="5" t="s">
        <v>48</v>
      </c>
      <c r="G26" s="5" t="s">
        <v>48</v>
      </c>
      <c r="H26" s="4"/>
      <c r="I26" s="4"/>
      <c r="J26" s="4"/>
      <c r="K26" s="4"/>
      <c r="L26" s="5"/>
      <c r="M26" s="4"/>
      <c r="N26" s="4"/>
      <c r="O26" s="4"/>
      <c r="P26" s="5" t="str">
        <f t="shared" si="4"/>
        <v>| Modelo de Dispersión de O3 a 8 horas | Corresponde a la superficie o Modelo Digital de Dispersión de O3 a 8 horas, en escala de grises, donde cada celda o pixel contiene el valor de concentración de O3. |</v>
      </c>
      <c r="Q26" s="5" t="str">
        <f t="shared" si="3"/>
        <v>| Modelo de Dispersión de O3 a 8 horas | Corresponde a la superficie o Modelo Digital de Dispersión de O3 a 8 horas, en escala de grises, donde cada celda o pixel contiene el valor de concentración de O3. | a |</v>
      </c>
      <c r="R26" s="5" t="str">
        <f t="shared" si="5"/>
        <v>| Modelo de Dispersión de O3 a 8 horas | Corresponde a la superficie o Modelo Digital de Dispersión de O3 a 8 horas, en escala de grises, donde cada celda o pixel contiene el valor de concentración de O3. | a | a |</v>
      </c>
      <c r="S26" s="5" t="str">
        <f t="shared" si="6"/>
        <v>| Modelo de Dispersión de O3 a 8 horas | Corresponde a la superficie o Modelo Digital de Dispersión de O3 a 8 horas, en escala de grises, donde cada celda o pixel contiene el valor de concentración de O3. | a | a |a |</v>
      </c>
      <c r="T26" s="5" t="str">
        <f t="shared" si="1"/>
        <v>| Modelo de Dispersión de O3 a 8 horas | Corresponde a la superficie o Modelo Digital de Dispersión de O3 a 8 horas, en escala de grises, donde cada celda o pixel contiene el valor de concentración de O3. | a | a |a |a |</v>
      </c>
      <c r="U26" s="5" t="str">
        <f t="shared" si="2"/>
        <v>| Modelo de Dispersión de O3 a 8 horas | Corresponde a la superficie o Modelo Digital de Dispersión de O3 a 8 horas, en escala de grises, donde cada celda o pixel contiene el valor de concentración de O3. | a | a | a | a |  |</v>
      </c>
      <c r="V26" s="5" t="str">
        <f t="shared" si="0"/>
        <v>| Modelo de Dispersión de O3 a 8 horas | Corresponde a la superficie o Modelo Digital de Dispersión de O3 a 8 horas, en escala de grises, donde cada celda o pixel contiene el valor de concentración de O3. | a | a |a |a | | | | | | | |</v>
      </c>
    </row>
    <row r="27" spans="2:22" ht="61.5" x14ac:dyDescent="0.55000000000000004">
      <c r="B27" s="4" t="s">
        <v>72</v>
      </c>
      <c r="C27" s="4" t="s">
        <v>99</v>
      </c>
      <c r="D27" s="5" t="s">
        <v>48</v>
      </c>
      <c r="E27" s="5" t="s">
        <v>48</v>
      </c>
      <c r="F27" s="5" t="s">
        <v>48</v>
      </c>
      <c r="G27" s="5" t="s">
        <v>48</v>
      </c>
      <c r="H27" s="4"/>
      <c r="I27" s="4"/>
      <c r="J27" s="4"/>
      <c r="K27" s="4"/>
      <c r="L27" s="5"/>
      <c r="M27" s="4"/>
      <c r="N27" s="4"/>
      <c r="O27" s="4"/>
      <c r="P27" s="5" t="str">
        <f t="shared" si="4"/>
        <v>| Modelo de Dispersión de O3 a 1 hora | Corresponde a la superficie o Modelo Digital de Dispersión de O3 a 1 hora, en escala de grises, donde cada celda o pixel contiene el valor de concentración de O3. |</v>
      </c>
      <c r="Q27" s="5" t="str">
        <f t="shared" si="3"/>
        <v>| Modelo de Dispersión de O3 a 1 hora | Corresponde a la superficie o Modelo Digital de Dispersión de O3 a 1 hora, en escala de grises, donde cada celda o pixel contiene el valor de concentración de O3. | a |</v>
      </c>
      <c r="R27" s="5" t="str">
        <f t="shared" si="5"/>
        <v>| Modelo de Dispersión de O3 a 1 hora | Corresponde a la superficie o Modelo Digital de Dispersión de O3 a 1 hora, en escala de grises, donde cada celda o pixel contiene el valor de concentración de O3. | a | a |</v>
      </c>
      <c r="S27" s="5" t="str">
        <f t="shared" si="6"/>
        <v>| Modelo de Dispersión de O3 a 1 hora | Corresponde a la superficie o Modelo Digital de Dispersión de O3 a 1 hora, en escala de grises, donde cada celda o pixel contiene el valor de concentración de O3. | a | a |a |</v>
      </c>
      <c r="T27" s="5" t="str">
        <f t="shared" si="1"/>
        <v>| Modelo de Dispersión de O3 a 1 hora | Corresponde a la superficie o Modelo Digital de Dispersión de O3 a 1 hora, en escala de grises, donde cada celda o pixel contiene el valor de concentración de O3. | a | a |a |a |</v>
      </c>
      <c r="U27" s="5" t="str">
        <f t="shared" si="2"/>
        <v>| Modelo de Dispersión de O3 a 1 hora | Corresponde a la superficie o Modelo Digital de Dispersión de O3 a 1 hora, en escala de grises, donde cada celda o pixel contiene el valor de concentración de O3. | a | a | a | a |  |</v>
      </c>
      <c r="V27" s="5" t="str">
        <f t="shared" si="0"/>
        <v>| Modelo de Dispersión de O3 a 1 hora | Corresponde a la superficie o Modelo Digital de Dispersión de O3 a 1 hora, en escala de grises, donde cada celda o pixel contiene el valor de concentración de O3. | a | a |a |a | | | | | | | |</v>
      </c>
    </row>
    <row r="28" spans="2:22" ht="61.5" x14ac:dyDescent="0.55000000000000004">
      <c r="B28" s="4" t="s">
        <v>73</v>
      </c>
      <c r="C28" s="4" t="s">
        <v>100</v>
      </c>
      <c r="D28" s="5" t="s">
        <v>48</v>
      </c>
      <c r="E28" s="5" t="s">
        <v>48</v>
      </c>
      <c r="F28" s="5" t="s">
        <v>48</v>
      </c>
      <c r="G28" s="5" t="s">
        <v>48</v>
      </c>
      <c r="H28" s="4"/>
      <c r="I28" s="4"/>
      <c r="J28" s="4"/>
      <c r="K28" s="4"/>
      <c r="L28" s="5"/>
      <c r="M28" s="4"/>
      <c r="N28" s="4"/>
      <c r="O28" s="4"/>
      <c r="P28" s="5" t="str">
        <f t="shared" si="4"/>
        <v>| Modelo de Dispersión de CO a 8 horas | Corresponde a la superficie o Modelo Digital de Dispersión de CO a 8 horas, en escala de grises, donde cada celda o pixel contiene el valor de concentración de CO. |</v>
      </c>
      <c r="Q28" s="5" t="str">
        <f t="shared" si="3"/>
        <v>| Modelo de Dispersión de CO a 8 horas | Corresponde a la superficie o Modelo Digital de Dispersión de CO a 8 horas, en escala de grises, donde cada celda o pixel contiene el valor de concentración de CO. | a |</v>
      </c>
      <c r="R28" s="5" t="str">
        <f t="shared" si="5"/>
        <v>| Modelo de Dispersión de CO a 8 horas | Corresponde a la superficie o Modelo Digital de Dispersión de CO a 8 horas, en escala de grises, donde cada celda o pixel contiene el valor de concentración de CO. | a | a |</v>
      </c>
      <c r="S28" s="5" t="str">
        <f t="shared" si="6"/>
        <v>| Modelo de Dispersión de CO a 8 horas | Corresponde a la superficie o Modelo Digital de Dispersión de CO a 8 horas, en escala de grises, donde cada celda o pixel contiene el valor de concentración de CO. | a | a |a |</v>
      </c>
      <c r="T28" s="5" t="str">
        <f t="shared" si="1"/>
        <v>| Modelo de Dispersión de CO a 8 horas | Corresponde a la superficie o Modelo Digital de Dispersión de CO a 8 horas, en escala de grises, donde cada celda o pixel contiene el valor de concentración de CO. | a | a |a |a |</v>
      </c>
      <c r="U28" s="5" t="str">
        <f t="shared" si="2"/>
        <v>| Modelo de Dispersión de CO a 8 horas | Corresponde a la superficie o Modelo Digital de Dispersión de CO a 8 horas, en escala de grises, donde cada celda o pixel contiene el valor de concentración de CO. | a | a | a | a |  |</v>
      </c>
      <c r="V28" s="5" t="str">
        <f t="shared" si="0"/>
        <v>| Modelo de Dispersión de CO a 8 horas | Corresponde a la superficie o Modelo Digital de Dispersión de CO a 8 horas, en escala de grises, donde cada celda o pixel contiene el valor de concentración de CO. | a | a |a |a | | | | | | | |</v>
      </c>
    </row>
    <row r="29" spans="2:22" x14ac:dyDescent="0.55000000000000004">
      <c r="B29" s="4" t="s">
        <v>74</v>
      </c>
      <c r="C29" s="4" t="s">
        <v>101</v>
      </c>
      <c r="D29" s="5" t="s">
        <v>48</v>
      </c>
      <c r="E29" s="5" t="s">
        <v>48</v>
      </c>
      <c r="F29" s="5" t="s">
        <v>48</v>
      </c>
      <c r="G29" s="5" t="s">
        <v>48</v>
      </c>
      <c r="H29" s="4"/>
      <c r="I29" s="4"/>
      <c r="J29" s="4"/>
      <c r="K29" s="4"/>
      <c r="L29" s="5"/>
      <c r="M29" s="4"/>
      <c r="N29" s="4"/>
      <c r="O29" s="4"/>
      <c r="P29" s="5" t="str">
        <f t="shared" si="4"/>
        <v>| Modelo de Dispersión de CO a 1 hora | Corresponde a la superficie o Modelo Digital de Dispersión de CO a 1 hora, en escala de grises, donde cada celda o pixel contiene el valor de concentración de CO. |</v>
      </c>
      <c r="Q29" s="5" t="str">
        <f t="shared" si="3"/>
        <v>| Modelo de Dispersión de CO a 1 hora | Corresponde a la superficie o Modelo Digital de Dispersión de CO a 1 hora, en escala de grises, donde cada celda o pixel contiene el valor de concentración de CO. | a |</v>
      </c>
      <c r="R29" s="5"/>
      <c r="S29" s="5"/>
      <c r="T29" s="5" t="str">
        <f t="shared" si="1"/>
        <v>| Modelo de Dispersión de CO a 1 hora | Corresponde a la superficie o Modelo Digital de Dispersión de CO a 1 hora, en escala de grises, donde cada celda o pixel contiene el valor de concentración de CO. | a | a |a |a |</v>
      </c>
      <c r="U29" s="5"/>
      <c r="V29" s="5"/>
    </row>
    <row r="30" spans="2:22" x14ac:dyDescent="0.55000000000000004">
      <c r="B30" s="4" t="s">
        <v>75</v>
      </c>
      <c r="C30" s="4" t="s">
        <v>102</v>
      </c>
      <c r="D30" s="5" t="s">
        <v>48</v>
      </c>
      <c r="E30" s="5" t="s">
        <v>48</v>
      </c>
      <c r="F30" s="5" t="s">
        <v>48</v>
      </c>
      <c r="G30" s="5" t="s">
        <v>48</v>
      </c>
      <c r="H30" s="4"/>
      <c r="I30" s="4"/>
      <c r="J30" s="4"/>
      <c r="K30" s="4"/>
      <c r="L30" s="5"/>
      <c r="M30" s="4"/>
      <c r="N30" s="4"/>
      <c r="O30" s="4"/>
      <c r="P30" s="5" t="str">
        <f t="shared" si="4"/>
        <v>| Modelo de Vibraciones | Corresponde a la superficie o Modelo Digital de vibraciones producidas por la actividad de las voladuras en mm/sg. |</v>
      </c>
      <c r="Q30" s="5" t="str">
        <f t="shared" si="3"/>
        <v>| Modelo de Vibraciones | Corresponde a la superficie o Modelo Digital de vibraciones producidas por la actividad de las voladuras en mm/sg. | a |</v>
      </c>
      <c r="R30" s="5"/>
      <c r="S30" s="5"/>
      <c r="T30" s="5" t="str">
        <f t="shared" si="1"/>
        <v>| Modelo de Vibraciones | Corresponde a la superficie o Modelo Digital de vibraciones producidas por la actividad de las voladuras en mm/sg. | a | a |a |a |</v>
      </c>
      <c r="U30" s="5"/>
      <c r="V30" s="5"/>
    </row>
    <row r="31" spans="2:22" x14ac:dyDescent="0.55000000000000004">
      <c r="B31" s="4" t="s">
        <v>76</v>
      </c>
      <c r="C31" s="4" t="s">
        <v>103</v>
      </c>
      <c r="D31" s="5" t="s">
        <v>48</v>
      </c>
      <c r="E31" s="5" t="s">
        <v>48</v>
      </c>
      <c r="F31" s="5" t="s">
        <v>48</v>
      </c>
      <c r="G31" s="5" t="s">
        <v>48</v>
      </c>
      <c r="H31" s="4"/>
      <c r="I31" s="4"/>
      <c r="J31" s="4"/>
      <c r="K31" s="4"/>
      <c r="L31" s="4"/>
      <c r="M31" s="5"/>
      <c r="N31" s="5"/>
      <c r="O31" s="4"/>
      <c r="P31" s="5" t="str">
        <f t="shared" si="4"/>
        <v>| Modelo de Sobrepresión de Aire | Corresponde a la superficie o Modelo Digital de la sobre presión del aire producidas por la actividad de las voladuras en db/L. |</v>
      </c>
      <c r="Q31" s="5" t="str">
        <f t="shared" si="3"/>
        <v>| Modelo de Sobrepresión de Aire | Corresponde a la superficie o Modelo Digital de la sobre presión del aire producidas por la actividad de las voladuras en db/L. | a |</v>
      </c>
      <c r="R31" s="5"/>
      <c r="S31" s="5"/>
      <c r="T31" s="5" t="str">
        <f t="shared" si="1"/>
        <v>| Modelo de Sobrepresión de Aire | Corresponde a la superficie o Modelo Digital de la sobre presión del aire producidas por la actividad de las voladuras en db/L. | a | a |a |a |</v>
      </c>
      <c r="U31" s="5"/>
      <c r="V31" s="5"/>
    </row>
    <row r="32" spans="2:22" x14ac:dyDescent="0.55000000000000004">
      <c r="B32" s="5"/>
      <c r="C32" s="4"/>
      <c r="D32" s="5"/>
      <c r="E32" s="5"/>
      <c r="F32" s="5"/>
      <c r="G32" s="5"/>
      <c r="H32" s="4"/>
      <c r="I32" s="4"/>
      <c r="J32" s="4"/>
      <c r="K32" s="4"/>
      <c r="L32" s="4"/>
      <c r="M32" s="5"/>
      <c r="N32" s="4"/>
      <c r="O32" s="4"/>
      <c r="P32" s="5" t="str">
        <f t="shared" si="4"/>
        <v>|  |  |</v>
      </c>
      <c r="Q32" s="5" t="str">
        <f t="shared" si="3"/>
        <v>|  |  |  |</v>
      </c>
      <c r="R32" s="5"/>
      <c r="S32" s="5"/>
      <c r="T32" s="5" t="str">
        <f t="shared" si="1"/>
        <v>|  |  |  |  | | |</v>
      </c>
      <c r="U32" s="5"/>
      <c r="V32" s="5"/>
    </row>
    <row r="33" spans="2:22" x14ac:dyDescent="0.55000000000000004">
      <c r="B33" s="5"/>
      <c r="C33" s="4"/>
      <c r="D33" s="5"/>
      <c r="E33" s="5"/>
      <c r="F33" s="5"/>
      <c r="G33" s="5"/>
      <c r="H33" s="4"/>
      <c r="I33" s="4"/>
      <c r="J33" s="4"/>
      <c r="K33" s="4"/>
      <c r="L33" s="4"/>
      <c r="M33" s="5"/>
      <c r="N33" s="4"/>
      <c r="O33" s="4"/>
      <c r="P33" s="5" t="str">
        <f t="shared" si="4"/>
        <v>|  |  |</v>
      </c>
      <c r="Q33" s="5" t="str">
        <f t="shared" si="3"/>
        <v>|  |  |  |</v>
      </c>
      <c r="R33" s="5"/>
      <c r="S33" s="5"/>
      <c r="T33" s="5" t="str">
        <f t="shared" si="1"/>
        <v>|  |  |  |  | | |</v>
      </c>
      <c r="U33" s="5"/>
      <c r="V33" s="5"/>
    </row>
    <row r="34" spans="2:22" x14ac:dyDescent="0.55000000000000004">
      <c r="B34" s="4"/>
      <c r="C34" s="4"/>
      <c r="D34" s="5"/>
      <c r="E34" s="5"/>
      <c r="F34" s="5"/>
      <c r="G34" s="5"/>
      <c r="H34" s="4"/>
      <c r="I34" s="4"/>
      <c r="J34" s="4"/>
      <c r="K34" s="4"/>
      <c r="L34" s="4"/>
      <c r="M34" s="5"/>
      <c r="N34" s="5"/>
      <c r="O34" s="4"/>
      <c r="P34" s="5" t="str">
        <f t="shared" si="4"/>
        <v>|  |  |</v>
      </c>
      <c r="Q34" s="5" t="str">
        <f t="shared" si="3"/>
        <v>|  |  |  |</v>
      </c>
      <c r="R34" s="5"/>
      <c r="S34" s="5"/>
      <c r="T34" s="5" t="str">
        <f t="shared" si="1"/>
        <v>|  |  |  |  | | |</v>
      </c>
      <c r="U34" s="5"/>
      <c r="V34" s="5"/>
    </row>
    <row r="35" spans="2:22" x14ac:dyDescent="0.55000000000000004">
      <c r="B35" s="4"/>
      <c r="C35" s="4"/>
      <c r="D35" s="5"/>
      <c r="E35" s="5"/>
      <c r="F35" s="5"/>
      <c r="G35" s="5"/>
      <c r="H35" s="4"/>
      <c r="I35" s="4"/>
      <c r="J35" s="4"/>
      <c r="K35" s="4"/>
      <c r="L35" s="4"/>
      <c r="M35" s="5"/>
      <c r="N35" s="4"/>
      <c r="O35" s="4"/>
      <c r="P35" s="5" t="str">
        <f t="shared" si="4"/>
        <v>|  |  |</v>
      </c>
      <c r="Q35" s="5" t="str">
        <f t="shared" si="3"/>
        <v>|  |  |  |</v>
      </c>
      <c r="R35" s="5"/>
      <c r="S35" s="5"/>
      <c r="T35" s="5" t="str">
        <f t="shared" si="1"/>
        <v>|  |  |  |  | | |</v>
      </c>
      <c r="U35" s="5"/>
      <c r="V35" s="5"/>
    </row>
    <row r="36" spans="2:22" x14ac:dyDescent="0.55000000000000004">
      <c r="B36" s="4"/>
      <c r="C36" s="4"/>
      <c r="D36" s="5"/>
      <c r="E36" s="5"/>
      <c r="F36" s="5"/>
      <c r="G36" s="5"/>
      <c r="H36" s="4"/>
      <c r="I36" s="4"/>
      <c r="J36" s="4"/>
      <c r="K36" s="4"/>
      <c r="L36" s="4"/>
      <c r="M36" s="5"/>
      <c r="N36" s="4"/>
      <c r="O36" s="4"/>
      <c r="P36" s="5" t="str">
        <f t="shared" si="4"/>
        <v>|  |  |</v>
      </c>
      <c r="Q36" s="5" t="str">
        <f t="shared" si="3"/>
        <v>|  |  |  |</v>
      </c>
      <c r="R36" s="5"/>
      <c r="S36" s="5"/>
      <c r="T36" s="5" t="str">
        <f t="shared" si="1"/>
        <v>|  |  |  |  | | |</v>
      </c>
      <c r="U36" s="5"/>
      <c r="V36" s="5"/>
    </row>
    <row r="37" spans="2:22" x14ac:dyDescent="0.55000000000000004">
      <c r="B37" s="5"/>
      <c r="C37" s="4"/>
      <c r="D37" s="5"/>
      <c r="E37" s="5"/>
      <c r="F37" s="5"/>
      <c r="G37" s="5"/>
      <c r="H37" s="4"/>
      <c r="I37" s="4"/>
      <c r="J37" s="4"/>
      <c r="K37" s="4"/>
      <c r="L37" s="4"/>
      <c r="M37" s="5"/>
      <c r="N37" s="4"/>
      <c r="O37" s="4"/>
      <c r="P37" s="5" t="str">
        <f t="shared" si="4"/>
        <v>|  |  |</v>
      </c>
      <c r="Q37" s="5" t="str">
        <f t="shared" si="3"/>
        <v>|  |  |  |</v>
      </c>
      <c r="R37" s="5"/>
      <c r="S37" s="5"/>
      <c r="T37" s="5" t="str">
        <f t="shared" si="1"/>
        <v>|  |  |  |  | | |</v>
      </c>
      <c r="U37" s="5"/>
      <c r="V37" s="5"/>
    </row>
    <row r="38" spans="2:22" x14ac:dyDescent="0.55000000000000004">
      <c r="B38" s="5"/>
      <c r="C38" s="5"/>
      <c r="D38" s="5"/>
      <c r="E38" s="5"/>
      <c r="F38" s="5"/>
      <c r="G38" s="5"/>
      <c r="H38" s="4"/>
      <c r="I38" s="4"/>
      <c r="J38" s="4"/>
      <c r="K38" s="4"/>
      <c r="L38" s="4"/>
      <c r="M38" s="5"/>
      <c r="N38" s="5"/>
      <c r="O38" s="4"/>
      <c r="P38" s="5" t="str">
        <f t="shared" si="4"/>
        <v>|  |  |</v>
      </c>
      <c r="Q38" s="5" t="str">
        <f t="shared" si="3"/>
        <v>|  |  |  |</v>
      </c>
      <c r="R38" s="5"/>
      <c r="S38" s="5"/>
      <c r="T38" s="5" t="str">
        <f t="shared" si="1"/>
        <v>|  |  |  |  | | |</v>
      </c>
      <c r="U38" s="5"/>
      <c r="V38" s="5"/>
    </row>
    <row r="39" spans="2:22" x14ac:dyDescent="0.55000000000000004">
      <c r="B39" s="4"/>
      <c r="C39" s="4"/>
      <c r="D39" s="5"/>
      <c r="E39" s="5"/>
      <c r="F39" s="5"/>
      <c r="G39" s="5"/>
      <c r="H39" s="4"/>
      <c r="I39" s="4"/>
      <c r="J39" s="4"/>
      <c r="K39" s="4"/>
      <c r="L39" s="4"/>
      <c r="M39" s="5"/>
      <c r="N39" s="5"/>
      <c r="O39" s="4"/>
      <c r="P39" s="5" t="str">
        <f t="shared" si="4"/>
        <v>|  |  |</v>
      </c>
      <c r="Q39" s="5" t="str">
        <f t="shared" si="3"/>
        <v>|  |  |  |</v>
      </c>
      <c r="R39" s="5"/>
      <c r="S39" s="5"/>
      <c r="T39" s="5" t="str">
        <f t="shared" si="1"/>
        <v>|  |  |  |  | | |</v>
      </c>
      <c r="U39" s="5"/>
      <c r="V39" s="5"/>
    </row>
    <row r="40" spans="2:22" x14ac:dyDescent="0.55000000000000004">
      <c r="B40" s="4"/>
      <c r="C40" s="4"/>
      <c r="D40" s="5"/>
      <c r="E40" s="5"/>
      <c r="F40" s="5"/>
      <c r="G40" s="5"/>
      <c r="H40" s="4"/>
      <c r="I40" s="4"/>
      <c r="J40" s="4"/>
      <c r="K40" s="4"/>
      <c r="L40" s="4"/>
      <c r="M40" s="4"/>
      <c r="N40" s="5"/>
      <c r="O40" s="4"/>
      <c r="P40" s="5" t="str">
        <f t="shared" si="4"/>
        <v>|  |  |</v>
      </c>
      <c r="Q40" s="5" t="str">
        <f t="shared" si="3"/>
        <v>|  |  |  |</v>
      </c>
      <c r="R40" s="5"/>
      <c r="S40" s="5"/>
      <c r="T40" s="5" t="str">
        <f t="shared" si="1"/>
        <v>|  |  |  |  | | |</v>
      </c>
      <c r="U40" s="5"/>
      <c r="V40" s="5"/>
    </row>
    <row r="41" spans="2:22" ht="30.75" x14ac:dyDescent="0.55000000000000004">
      <c r="B41" s="4"/>
      <c r="C41" s="4"/>
      <c r="D41" s="5"/>
      <c r="E41" s="5"/>
      <c r="F41" s="5"/>
      <c r="G41" s="5"/>
      <c r="H41" s="4"/>
      <c r="I41" s="4"/>
      <c r="J41" s="4"/>
      <c r="K41" s="4"/>
      <c r="L41" s="4"/>
      <c r="M41" s="4"/>
      <c r="N41" s="5"/>
      <c r="O41" s="4"/>
      <c r="P41" s="5" t="str">
        <f t="shared" si="4"/>
        <v>|  |  |</v>
      </c>
      <c r="Q41" s="5" t="str">
        <f t="shared" si="3"/>
        <v>|  |  |  |</v>
      </c>
      <c r="R41" s="5"/>
      <c r="S41" s="5"/>
      <c r="T41" s="5" t="str">
        <f t="shared" si="1"/>
        <v>|  |  |  |  | | |</v>
      </c>
      <c r="U41" s="5"/>
      <c r="V41" s="5"/>
    </row>
    <row r="42" spans="2:22" x14ac:dyDescent="0.55000000000000004">
      <c r="B42" s="4"/>
      <c r="C42" s="4"/>
      <c r="D42" s="5"/>
      <c r="E42" s="5"/>
      <c r="F42" s="5"/>
      <c r="G42" s="5"/>
      <c r="H42" s="4"/>
      <c r="I42" s="4"/>
      <c r="J42" s="4"/>
      <c r="K42" s="4"/>
      <c r="L42" s="4"/>
      <c r="M42" s="4"/>
      <c r="N42" s="4"/>
      <c r="O42" s="4"/>
      <c r="P42" s="5" t="str">
        <f t="shared" si="4"/>
        <v>|  |  |</v>
      </c>
      <c r="Q42" s="5" t="str">
        <f t="shared" si="3"/>
        <v>|  |  |  |</v>
      </c>
      <c r="R42" s="5"/>
      <c r="S42" s="5"/>
      <c r="T42" s="5" t="str">
        <f t="shared" si="1"/>
        <v>|  |  |  |  | | |</v>
      </c>
      <c r="U42" s="5"/>
      <c r="V42" s="5"/>
    </row>
    <row r="43" spans="2:22" ht="30.75" x14ac:dyDescent="0.55000000000000004">
      <c r="B43" s="4"/>
      <c r="C43" s="4"/>
      <c r="D43" s="5"/>
      <c r="E43" s="5"/>
      <c r="F43" s="5"/>
      <c r="G43" s="5"/>
      <c r="H43" s="4"/>
      <c r="I43" s="4"/>
      <c r="J43" s="4"/>
      <c r="K43" s="4"/>
      <c r="L43" s="4"/>
      <c r="M43" s="4"/>
      <c r="N43" s="4"/>
      <c r="O43" s="4"/>
      <c r="P43" s="5" t="str">
        <f t="shared" si="4"/>
        <v>|  |  |</v>
      </c>
      <c r="Q43" s="5" t="str">
        <f t="shared" si="3"/>
        <v>|  |  |  |</v>
      </c>
      <c r="R43" s="5"/>
      <c r="S43" s="5"/>
      <c r="T43" s="5" t="str">
        <f t="shared" si="1"/>
        <v>|  |  |  |  | | |</v>
      </c>
      <c r="U43" s="5"/>
      <c r="V43" s="5"/>
    </row>
    <row r="44" spans="2:22" ht="30.75" x14ac:dyDescent="0.55000000000000004">
      <c r="B44" s="4"/>
      <c r="C44" s="4"/>
      <c r="D44" s="5"/>
      <c r="E44" s="5"/>
      <c r="F44" s="5"/>
      <c r="G44" s="5"/>
      <c r="H44" s="4"/>
      <c r="I44" s="4"/>
      <c r="J44" s="4"/>
      <c r="K44" s="4"/>
      <c r="L44" s="4"/>
      <c r="M44" s="4"/>
      <c r="N44" s="4"/>
      <c r="O44" s="4"/>
      <c r="P44" s="5" t="str">
        <f t="shared" si="4"/>
        <v>|  |  |</v>
      </c>
      <c r="Q44" s="5" t="str">
        <f t="shared" si="3"/>
        <v>|  |  |  |</v>
      </c>
      <c r="R44" s="5"/>
      <c r="S44" s="5"/>
      <c r="T44" s="5" t="str">
        <f t="shared" si="1"/>
        <v>|  |  |  |  | | |</v>
      </c>
      <c r="U44" s="5"/>
      <c r="V44" s="5"/>
    </row>
    <row r="45" spans="2:22" ht="30.75" x14ac:dyDescent="0.55000000000000004">
      <c r="B45" s="4"/>
      <c r="C45" s="4"/>
      <c r="D45" s="5"/>
      <c r="E45" s="5"/>
      <c r="F45" s="5"/>
      <c r="G45" s="5"/>
      <c r="H45" s="4"/>
      <c r="I45" s="4"/>
      <c r="J45" s="4"/>
      <c r="K45" s="4"/>
      <c r="L45" s="4"/>
      <c r="M45" s="4"/>
      <c r="N45" s="4"/>
      <c r="O45" s="4"/>
      <c r="P45" s="5" t="str">
        <f t="shared" si="4"/>
        <v>|  |  |</v>
      </c>
      <c r="Q45" s="5" t="str">
        <f t="shared" si="3"/>
        <v>|  |  |  |</v>
      </c>
      <c r="R45" s="5" t="str">
        <f t="shared" si="5"/>
        <v>|  |  |  |  |</v>
      </c>
      <c r="S45" s="5" t="str">
        <f t="shared" si="6"/>
        <v>|  |  |  |  | |</v>
      </c>
      <c r="T45" s="5" t="str">
        <f t="shared" si="1"/>
        <v>|  |  |  |  | | |</v>
      </c>
      <c r="U45" s="5"/>
      <c r="V45" s="5" t="str">
        <f t="shared" ref="V45:V103" si="7">_xlfn.CONCAT("| ",B45," | ",C45," | ",D45," | ",E45," |",F45," |",G45," |",H45," |",I45," |",J45," |",K45," |",L45," |",M45," |",N45," |")</f>
        <v>|  |  |  |  | | | | | | | | | |</v>
      </c>
    </row>
    <row r="46" spans="2:22" ht="30.75" x14ac:dyDescent="0.55000000000000004">
      <c r="B46" s="4"/>
      <c r="C46" s="4"/>
      <c r="D46" s="5"/>
      <c r="E46" s="5"/>
      <c r="F46" s="5"/>
      <c r="G46" s="5"/>
      <c r="H46" s="4"/>
      <c r="I46" s="4"/>
      <c r="J46" s="4"/>
      <c r="K46" s="4"/>
      <c r="L46" s="4"/>
      <c r="M46" s="4"/>
      <c r="N46" s="4"/>
      <c r="O46" s="4"/>
      <c r="P46" s="5" t="str">
        <f t="shared" si="4"/>
        <v>|  |  |</v>
      </c>
      <c r="Q46" s="5" t="str">
        <f t="shared" si="3"/>
        <v>|  |  |  |</v>
      </c>
      <c r="R46" s="5" t="str">
        <f t="shared" si="5"/>
        <v>|  |  |  |  |</v>
      </c>
      <c r="S46" s="5" t="str">
        <f t="shared" si="6"/>
        <v>|  |  |  |  | |</v>
      </c>
      <c r="T46" s="5" t="str">
        <f t="shared" si="1"/>
        <v>|  |  |  |  | | |</v>
      </c>
      <c r="U46" s="5"/>
      <c r="V46" s="5" t="str">
        <f t="shared" si="7"/>
        <v>|  |  |  |  | | | | | | | | | |</v>
      </c>
    </row>
    <row r="47" spans="2:22" ht="30.75" x14ac:dyDescent="0.55000000000000004">
      <c r="B47" s="4"/>
      <c r="C47" s="4"/>
      <c r="D47" s="5"/>
      <c r="E47" s="5"/>
      <c r="F47" s="5"/>
      <c r="G47" s="5"/>
      <c r="H47" s="4"/>
      <c r="I47" s="4"/>
      <c r="J47" s="4"/>
      <c r="K47" s="4"/>
      <c r="L47" s="4"/>
      <c r="M47" s="4"/>
      <c r="N47" s="4"/>
      <c r="O47" s="4"/>
      <c r="P47" s="5" t="str">
        <f t="shared" si="4"/>
        <v>|  |  |</v>
      </c>
      <c r="Q47" s="5" t="str">
        <f t="shared" si="3"/>
        <v>|  |  |  |</v>
      </c>
      <c r="R47" s="5" t="str">
        <f t="shared" si="5"/>
        <v>|  |  |  |  |</v>
      </c>
      <c r="S47" s="5" t="str">
        <f t="shared" si="6"/>
        <v>|  |  |  |  | |</v>
      </c>
      <c r="T47" s="5" t="str">
        <f t="shared" si="1"/>
        <v>|  |  |  |  | | |</v>
      </c>
      <c r="U47" s="5"/>
      <c r="V47" s="5" t="str">
        <f t="shared" si="7"/>
        <v>|  |  |  |  | | | | | | | | | |</v>
      </c>
    </row>
    <row r="48" spans="2:22" ht="30.75" x14ac:dyDescent="0.55000000000000004">
      <c r="B48" s="4"/>
      <c r="C48" s="4"/>
      <c r="D48" s="5"/>
      <c r="E48" s="5"/>
      <c r="F48" s="5"/>
      <c r="G48" s="5"/>
      <c r="H48" s="4"/>
      <c r="I48" s="4"/>
      <c r="J48" s="4"/>
      <c r="K48" s="4"/>
      <c r="L48" s="4"/>
      <c r="M48" s="4"/>
      <c r="N48" s="4"/>
      <c r="O48" s="4"/>
      <c r="P48" s="5" t="str">
        <f t="shared" si="4"/>
        <v>|  |  |</v>
      </c>
      <c r="Q48" s="5" t="str">
        <f t="shared" si="3"/>
        <v>|  |  |  |</v>
      </c>
      <c r="R48" s="5" t="str">
        <f t="shared" si="5"/>
        <v>|  |  |  |  |</v>
      </c>
      <c r="S48" s="5" t="str">
        <f t="shared" si="6"/>
        <v>|  |  |  |  | |</v>
      </c>
      <c r="T48" s="5" t="str">
        <f t="shared" si="1"/>
        <v>|  |  |  |  | | |</v>
      </c>
      <c r="U48" s="5"/>
      <c r="V48" s="5" t="str">
        <f t="shared" si="7"/>
        <v>|  |  |  |  | | | | | | | | | |</v>
      </c>
    </row>
    <row r="49" spans="2:22" ht="30.75" x14ac:dyDescent="0.55000000000000004">
      <c r="B49" s="4"/>
      <c r="C49" s="4"/>
      <c r="D49" s="5"/>
      <c r="E49" s="5"/>
      <c r="F49" s="5"/>
      <c r="G49" s="5"/>
      <c r="H49" s="4"/>
      <c r="I49" s="4"/>
      <c r="J49" s="4"/>
      <c r="K49" s="4"/>
      <c r="L49" s="4"/>
      <c r="M49" s="4"/>
      <c r="N49" s="4"/>
      <c r="O49" s="4"/>
      <c r="P49" s="5" t="str">
        <f t="shared" si="4"/>
        <v>|  |  |</v>
      </c>
      <c r="Q49" s="5" t="str">
        <f t="shared" si="3"/>
        <v>|  |  |  |</v>
      </c>
      <c r="R49" s="5" t="str">
        <f t="shared" si="5"/>
        <v>|  |  |  |  |</v>
      </c>
      <c r="S49" s="5" t="str">
        <f t="shared" si="6"/>
        <v>|  |  |  |  | |</v>
      </c>
      <c r="T49" s="5" t="str">
        <f t="shared" si="1"/>
        <v>|  |  |  |  | | |</v>
      </c>
      <c r="U49" s="5"/>
      <c r="V49" s="5" t="str">
        <f t="shared" si="7"/>
        <v>|  |  |  |  | | | | | | | | | |</v>
      </c>
    </row>
    <row r="50" spans="2:22" ht="30.75" x14ac:dyDescent="0.55000000000000004">
      <c r="B50" s="4"/>
      <c r="C50" s="4"/>
      <c r="D50" s="5"/>
      <c r="E50" s="5"/>
      <c r="F50" s="5"/>
      <c r="G50" s="5"/>
      <c r="H50" s="4"/>
      <c r="I50" s="4"/>
      <c r="J50" s="4"/>
      <c r="K50" s="4"/>
      <c r="L50" s="4"/>
      <c r="M50" s="4"/>
      <c r="N50" s="4"/>
      <c r="O50" s="4"/>
      <c r="P50" s="5" t="str">
        <f t="shared" si="4"/>
        <v>|  |  |</v>
      </c>
      <c r="Q50" s="5" t="str">
        <f t="shared" si="3"/>
        <v>|  |  |  |</v>
      </c>
      <c r="R50" s="5" t="str">
        <f t="shared" si="5"/>
        <v>|  |  |  |  |</v>
      </c>
      <c r="S50" s="5" t="str">
        <f t="shared" si="6"/>
        <v>|  |  |  |  | |</v>
      </c>
      <c r="T50" s="5" t="str">
        <f t="shared" si="1"/>
        <v>|  |  |  |  | | |</v>
      </c>
      <c r="U50" s="5"/>
      <c r="V50" s="5" t="str">
        <f t="shared" si="7"/>
        <v>|  |  |  |  | | | | | | | | | |</v>
      </c>
    </row>
    <row r="51" spans="2:22" ht="30.75" x14ac:dyDescent="0.55000000000000004">
      <c r="B51" s="4"/>
      <c r="C51" s="4"/>
      <c r="D51" s="5"/>
      <c r="E51" s="5"/>
      <c r="F51" s="5"/>
      <c r="G51" s="5"/>
      <c r="H51" s="4"/>
      <c r="I51" s="4"/>
      <c r="J51" s="4"/>
      <c r="K51" s="4"/>
      <c r="L51" s="4"/>
      <c r="M51" s="4"/>
      <c r="N51" s="4"/>
      <c r="O51" s="4"/>
      <c r="P51" s="5" t="str">
        <f t="shared" si="4"/>
        <v>|  |  |</v>
      </c>
      <c r="Q51" s="5" t="str">
        <f t="shared" si="3"/>
        <v>|  |  |  |</v>
      </c>
      <c r="R51" s="5" t="str">
        <f t="shared" si="5"/>
        <v>|  |  |  |  |</v>
      </c>
      <c r="S51" s="5" t="str">
        <f t="shared" si="6"/>
        <v>|  |  |  |  | |</v>
      </c>
      <c r="T51" s="5" t="str">
        <f t="shared" si="1"/>
        <v>|  |  |  |  | | |</v>
      </c>
      <c r="U51" s="5"/>
      <c r="V51" s="5" t="str">
        <f t="shared" si="7"/>
        <v>|  |  |  |  | | | | | | | | | |</v>
      </c>
    </row>
    <row r="52" spans="2:22" x14ac:dyDescent="0.55000000000000004">
      <c r="B52" s="4"/>
      <c r="C52" s="4"/>
      <c r="D52" s="5"/>
      <c r="E52" s="5"/>
      <c r="F52" s="5"/>
      <c r="G52" s="5"/>
      <c r="H52" s="4"/>
      <c r="I52" s="4"/>
      <c r="J52" s="4"/>
      <c r="K52" s="4"/>
      <c r="L52" s="4"/>
      <c r="M52" s="4"/>
      <c r="N52" s="4"/>
      <c r="O52" s="4"/>
      <c r="P52" s="5" t="str">
        <f t="shared" si="4"/>
        <v>|  |  |</v>
      </c>
      <c r="Q52" s="5" t="str">
        <f t="shared" si="3"/>
        <v>|  |  |  |</v>
      </c>
      <c r="R52" s="5" t="str">
        <f t="shared" si="5"/>
        <v>|  |  |  |  |</v>
      </c>
      <c r="S52" s="5" t="str">
        <f t="shared" si="6"/>
        <v>|  |  |  |  | |</v>
      </c>
      <c r="T52" s="5" t="str">
        <f t="shared" si="1"/>
        <v>|  |  |  |  | | |</v>
      </c>
      <c r="U52" s="5"/>
      <c r="V52" s="5" t="str">
        <f t="shared" si="7"/>
        <v>|  |  |  |  | | | | | | | | | |</v>
      </c>
    </row>
    <row r="53" spans="2:22" ht="30.75" x14ac:dyDescent="0.55000000000000004">
      <c r="B53" s="4"/>
      <c r="C53" s="4"/>
      <c r="D53" s="5"/>
      <c r="E53" s="5"/>
      <c r="F53" s="5"/>
      <c r="G53" s="5"/>
      <c r="H53" s="4"/>
      <c r="I53" s="4"/>
      <c r="J53" s="4"/>
      <c r="K53" s="4"/>
      <c r="L53" s="4"/>
      <c r="M53" s="4"/>
      <c r="N53" s="4"/>
      <c r="O53" s="4"/>
      <c r="P53" s="5" t="str">
        <f t="shared" si="4"/>
        <v>|  |  |</v>
      </c>
      <c r="Q53" s="5" t="str">
        <f t="shared" si="3"/>
        <v>|  |  |  |</v>
      </c>
      <c r="R53" s="5" t="str">
        <f t="shared" si="5"/>
        <v>|  |  |  |  |</v>
      </c>
      <c r="S53" s="5" t="str">
        <f t="shared" si="6"/>
        <v>|  |  |  |  | |</v>
      </c>
      <c r="T53" s="5" t="str">
        <f t="shared" si="1"/>
        <v>|  |  |  |  | | |</v>
      </c>
      <c r="U53" s="5"/>
      <c r="V53" s="5" t="str">
        <f t="shared" si="7"/>
        <v>|  |  |  |  | | | | | | | | | |</v>
      </c>
    </row>
    <row r="54" spans="2:22" ht="30.75" x14ac:dyDescent="0.55000000000000004">
      <c r="B54" s="4"/>
      <c r="C54" s="4"/>
      <c r="D54" s="5"/>
      <c r="E54" s="5"/>
      <c r="F54" s="5"/>
      <c r="G54" s="5"/>
      <c r="H54" s="4"/>
      <c r="I54" s="4"/>
      <c r="J54" s="4"/>
      <c r="K54" s="4"/>
      <c r="L54" s="4"/>
      <c r="M54" s="4"/>
      <c r="N54" s="4"/>
      <c r="O54" s="4"/>
      <c r="P54" s="5" t="str">
        <f t="shared" si="4"/>
        <v>|  |  |</v>
      </c>
      <c r="Q54" s="5" t="str">
        <f t="shared" si="3"/>
        <v>|  |  |  |</v>
      </c>
      <c r="R54" s="5" t="str">
        <f t="shared" si="5"/>
        <v>|  |  |  |  |</v>
      </c>
      <c r="S54" s="5" t="str">
        <f t="shared" si="6"/>
        <v>|  |  |  |  | |</v>
      </c>
      <c r="T54" s="5" t="str">
        <f t="shared" si="1"/>
        <v>|  |  |  |  | | |</v>
      </c>
      <c r="U54" s="5"/>
      <c r="V54" s="5" t="str">
        <f t="shared" si="7"/>
        <v>|  |  |  |  | | | | | | | | | |</v>
      </c>
    </row>
    <row r="55" spans="2:22" ht="30.75" x14ac:dyDescent="0.55000000000000004">
      <c r="B55" s="4"/>
      <c r="C55" s="4"/>
      <c r="D55" s="5"/>
      <c r="E55" s="5"/>
      <c r="F55" s="5"/>
      <c r="G55" s="5"/>
      <c r="H55" s="4"/>
      <c r="I55" s="4"/>
      <c r="J55" s="4"/>
      <c r="K55" s="4"/>
      <c r="L55" s="4"/>
      <c r="M55" s="4"/>
      <c r="N55" s="4"/>
      <c r="O55" s="4"/>
      <c r="P55" s="5" t="str">
        <f t="shared" si="4"/>
        <v>|  |  |</v>
      </c>
      <c r="Q55" s="5" t="str">
        <f t="shared" si="3"/>
        <v>|  |  |  |</v>
      </c>
      <c r="R55" s="5" t="str">
        <f t="shared" si="5"/>
        <v>|  |  |  |  |</v>
      </c>
      <c r="S55" s="5" t="str">
        <f t="shared" si="6"/>
        <v>|  |  |  |  | |</v>
      </c>
      <c r="T55" s="5" t="str">
        <f t="shared" si="1"/>
        <v>|  |  |  |  | | |</v>
      </c>
      <c r="U55" s="5"/>
      <c r="V55" s="5" t="str">
        <f t="shared" si="7"/>
        <v>|  |  |  |  | | | | | | | | | |</v>
      </c>
    </row>
    <row r="56" spans="2:22" x14ac:dyDescent="0.55000000000000004">
      <c r="B56" s="4"/>
      <c r="C56" s="4"/>
      <c r="D56" s="5"/>
      <c r="E56" s="5"/>
      <c r="F56" s="5"/>
      <c r="G56" s="5"/>
      <c r="H56" s="4"/>
      <c r="I56" s="4"/>
      <c r="J56" s="4"/>
      <c r="K56" s="4"/>
      <c r="L56" s="4"/>
      <c r="M56" s="4"/>
      <c r="N56" s="4"/>
      <c r="O56" s="4"/>
      <c r="P56" s="5" t="str">
        <f t="shared" si="4"/>
        <v>|  |  |</v>
      </c>
      <c r="Q56" s="5" t="str">
        <f t="shared" si="3"/>
        <v>|  |  |  |</v>
      </c>
      <c r="R56" s="5" t="str">
        <f t="shared" si="5"/>
        <v>|  |  |  |  |</v>
      </c>
      <c r="S56" s="5" t="str">
        <f t="shared" si="6"/>
        <v>|  |  |  |  | |</v>
      </c>
      <c r="T56" s="5" t="str">
        <f t="shared" si="1"/>
        <v>|  |  |  |  | | |</v>
      </c>
      <c r="U56" s="5"/>
      <c r="V56" s="5" t="str">
        <f t="shared" si="7"/>
        <v>|  |  |  |  | | | | | | | | | |</v>
      </c>
    </row>
    <row r="57" spans="2:22" ht="30.75" x14ac:dyDescent="0.55000000000000004">
      <c r="B57" s="4"/>
      <c r="C57" s="4"/>
      <c r="D57" s="5"/>
      <c r="E57" s="5"/>
      <c r="F57" s="5"/>
      <c r="G57" s="5"/>
      <c r="H57" s="4"/>
      <c r="I57" s="4"/>
      <c r="J57" s="4"/>
      <c r="K57" s="4"/>
      <c r="L57" s="4"/>
      <c r="M57" s="4"/>
      <c r="N57" s="4"/>
      <c r="O57" s="4"/>
      <c r="P57" s="5" t="str">
        <f t="shared" si="4"/>
        <v>|  |  |</v>
      </c>
      <c r="Q57" s="5" t="str">
        <f t="shared" si="3"/>
        <v>|  |  |  |</v>
      </c>
      <c r="R57" s="5" t="str">
        <f t="shared" si="5"/>
        <v>|  |  |  |  |</v>
      </c>
      <c r="S57" s="5" t="str">
        <f t="shared" si="6"/>
        <v>|  |  |  |  | |</v>
      </c>
      <c r="T57" s="5" t="str">
        <f t="shared" si="1"/>
        <v>|  |  |  |  | | |</v>
      </c>
      <c r="U57" s="5"/>
      <c r="V57" s="5" t="str">
        <f t="shared" si="7"/>
        <v>|  |  |  |  | | | | | | | | | |</v>
      </c>
    </row>
    <row r="58" spans="2:22" ht="30.75" x14ac:dyDescent="0.55000000000000004">
      <c r="B58" s="4"/>
      <c r="C58" s="4"/>
      <c r="D58" s="5"/>
      <c r="E58" s="5"/>
      <c r="F58" s="5"/>
      <c r="G58" s="5"/>
      <c r="H58" s="4"/>
      <c r="I58" s="4"/>
      <c r="J58" s="4"/>
      <c r="K58" s="4"/>
      <c r="L58" s="4"/>
      <c r="M58" s="4"/>
      <c r="N58" s="4"/>
      <c r="O58" s="4"/>
      <c r="P58" s="5" t="str">
        <f t="shared" si="4"/>
        <v>|  |  |</v>
      </c>
      <c r="Q58" s="5" t="str">
        <f t="shared" si="3"/>
        <v>|  |  |  |</v>
      </c>
      <c r="R58" s="5" t="str">
        <f t="shared" si="5"/>
        <v>|  |  |  |  |</v>
      </c>
      <c r="S58" s="5" t="str">
        <f t="shared" si="6"/>
        <v>|  |  |  |  | |</v>
      </c>
      <c r="T58" s="5" t="str">
        <f t="shared" si="1"/>
        <v>|  |  |  |  | | |</v>
      </c>
      <c r="U58" s="5"/>
      <c r="V58" s="5" t="str">
        <f t="shared" si="7"/>
        <v>|  |  |  |  | | | | | | | | | |</v>
      </c>
    </row>
    <row r="59" spans="2:22" ht="30.75" x14ac:dyDescent="0.55000000000000004">
      <c r="B59" s="4"/>
      <c r="C59" s="4"/>
      <c r="D59" s="5"/>
      <c r="E59" s="5"/>
      <c r="F59" s="5"/>
      <c r="G59" s="5"/>
      <c r="H59" s="4"/>
      <c r="I59" s="4"/>
      <c r="J59" s="4"/>
      <c r="K59" s="4"/>
      <c r="L59" s="4"/>
      <c r="M59" s="4"/>
      <c r="N59" s="4"/>
      <c r="O59" s="4"/>
      <c r="P59" s="5" t="str">
        <f t="shared" si="4"/>
        <v>|  |  |</v>
      </c>
      <c r="Q59" s="5" t="str">
        <f t="shared" si="3"/>
        <v>|  |  |  |</v>
      </c>
      <c r="R59" s="5" t="str">
        <f t="shared" si="5"/>
        <v>|  |  |  |  |</v>
      </c>
      <c r="S59" s="5" t="str">
        <f t="shared" si="6"/>
        <v>|  |  |  |  | |</v>
      </c>
      <c r="T59" s="5" t="str">
        <f t="shared" si="1"/>
        <v>|  |  |  |  | | |</v>
      </c>
      <c r="U59" s="5"/>
      <c r="V59" s="5" t="str">
        <f t="shared" si="7"/>
        <v>|  |  |  |  | | | | | | | | | |</v>
      </c>
    </row>
    <row r="60" spans="2:22" ht="30.75" x14ac:dyDescent="0.55000000000000004">
      <c r="B60" s="4"/>
      <c r="C60" s="4"/>
      <c r="D60" s="5"/>
      <c r="E60" s="5"/>
      <c r="F60" s="5"/>
      <c r="G60" s="5"/>
      <c r="H60" s="4"/>
      <c r="I60" s="4"/>
      <c r="J60" s="4"/>
      <c r="K60" s="4"/>
      <c r="L60" s="4"/>
      <c r="M60" s="4"/>
      <c r="N60" s="4"/>
      <c r="O60" s="4"/>
      <c r="P60" s="5" t="str">
        <f t="shared" si="4"/>
        <v>|  |  |</v>
      </c>
      <c r="Q60" s="5" t="str">
        <f t="shared" si="3"/>
        <v>|  |  |  |</v>
      </c>
      <c r="R60" s="5" t="str">
        <f t="shared" si="5"/>
        <v>|  |  |  |  |</v>
      </c>
      <c r="S60" s="5" t="str">
        <f t="shared" si="6"/>
        <v>|  |  |  |  | |</v>
      </c>
      <c r="T60" s="5" t="str">
        <f t="shared" si="1"/>
        <v>|  |  |  |  | | |</v>
      </c>
      <c r="U60" s="5"/>
      <c r="V60" s="5" t="str">
        <f t="shared" si="7"/>
        <v>|  |  |  |  | | | | | | | | | |</v>
      </c>
    </row>
    <row r="61" spans="2:22" ht="30.75" x14ac:dyDescent="0.55000000000000004">
      <c r="B61" s="4"/>
      <c r="C61" s="4"/>
      <c r="D61" s="5"/>
      <c r="E61" s="5"/>
      <c r="F61" s="5"/>
      <c r="G61" s="5"/>
      <c r="H61" s="4"/>
      <c r="I61" s="4"/>
      <c r="J61" s="4"/>
      <c r="K61" s="4"/>
      <c r="L61" s="4"/>
      <c r="M61" s="4"/>
      <c r="N61" s="4"/>
      <c r="O61" s="4"/>
      <c r="P61" s="5" t="str">
        <f t="shared" si="4"/>
        <v>|  |  |</v>
      </c>
      <c r="Q61" s="5" t="str">
        <f t="shared" si="3"/>
        <v>|  |  |  |</v>
      </c>
      <c r="R61" s="5" t="str">
        <f t="shared" si="5"/>
        <v>|  |  |  |  |</v>
      </c>
      <c r="S61" s="5" t="str">
        <f t="shared" si="6"/>
        <v>|  |  |  |  | |</v>
      </c>
      <c r="T61" s="5" t="str">
        <f t="shared" si="1"/>
        <v>|  |  |  |  | | |</v>
      </c>
      <c r="U61" s="5"/>
      <c r="V61" s="5" t="str">
        <f t="shared" si="7"/>
        <v>|  |  |  |  | | | | | | | | | |</v>
      </c>
    </row>
    <row r="62" spans="2:22" ht="30.75" x14ac:dyDescent="0.55000000000000004">
      <c r="B62" s="4"/>
      <c r="C62" s="4"/>
      <c r="D62" s="5"/>
      <c r="E62" s="5"/>
      <c r="F62" s="5"/>
      <c r="G62" s="5"/>
      <c r="H62" s="4"/>
      <c r="I62" s="4"/>
      <c r="J62" s="4"/>
      <c r="K62" s="4"/>
      <c r="L62" s="4"/>
      <c r="M62" s="4"/>
      <c r="N62" s="4"/>
      <c r="O62" s="4"/>
      <c r="P62" s="5" t="str">
        <f t="shared" si="4"/>
        <v>|  |  |</v>
      </c>
      <c r="Q62" s="5" t="str">
        <f t="shared" si="3"/>
        <v>|  |  |  |</v>
      </c>
      <c r="R62" s="5" t="str">
        <f t="shared" si="5"/>
        <v>|  |  |  |  |</v>
      </c>
      <c r="S62" s="5" t="str">
        <f t="shared" si="6"/>
        <v>|  |  |  |  | |</v>
      </c>
      <c r="T62" s="5" t="str">
        <f t="shared" si="1"/>
        <v>|  |  |  |  | | |</v>
      </c>
      <c r="U62" s="5"/>
      <c r="V62" s="5" t="str">
        <f t="shared" si="7"/>
        <v>|  |  |  |  | | | | | | | | | |</v>
      </c>
    </row>
    <row r="63" spans="2:22" ht="30.75" x14ac:dyDescent="0.55000000000000004">
      <c r="B63" s="4"/>
      <c r="C63" s="4"/>
      <c r="D63" s="5"/>
      <c r="E63" s="5"/>
      <c r="F63" s="5"/>
      <c r="G63" s="5"/>
      <c r="H63" s="4"/>
      <c r="I63" s="4"/>
      <c r="J63" s="4"/>
      <c r="K63" s="4"/>
      <c r="L63" s="4"/>
      <c r="M63" s="4"/>
      <c r="N63" s="4"/>
      <c r="O63" s="4"/>
      <c r="P63" s="5" t="str">
        <f t="shared" si="4"/>
        <v>|  |  |</v>
      </c>
      <c r="Q63" s="5" t="str">
        <f t="shared" si="3"/>
        <v>|  |  |  |</v>
      </c>
      <c r="R63" s="5" t="str">
        <f t="shared" si="5"/>
        <v>|  |  |  |  |</v>
      </c>
      <c r="S63" s="5" t="str">
        <f t="shared" si="6"/>
        <v>|  |  |  |  | |</v>
      </c>
      <c r="T63" s="5" t="str">
        <f t="shared" si="1"/>
        <v>|  |  |  |  | | |</v>
      </c>
      <c r="U63" s="5"/>
      <c r="V63" s="5" t="str">
        <f t="shared" si="7"/>
        <v>|  |  |  |  | | | | | | | | | |</v>
      </c>
    </row>
    <row r="64" spans="2:22" x14ac:dyDescent="0.55000000000000004">
      <c r="B64" s="4"/>
      <c r="C64" s="4"/>
      <c r="D64" s="5"/>
      <c r="E64" s="5"/>
      <c r="F64" s="5"/>
      <c r="G64" s="5"/>
      <c r="H64" s="4"/>
      <c r="I64" s="4"/>
      <c r="J64" s="4"/>
      <c r="K64" s="4"/>
      <c r="L64" s="4"/>
      <c r="M64" s="4"/>
      <c r="N64" s="4"/>
      <c r="O64" s="4"/>
      <c r="P64" s="5" t="str">
        <f t="shared" si="4"/>
        <v>|  |  |</v>
      </c>
      <c r="Q64" s="5" t="str">
        <f t="shared" si="3"/>
        <v>|  |  |  |</v>
      </c>
      <c r="R64" s="5" t="str">
        <f t="shared" si="5"/>
        <v>|  |  |  |  |</v>
      </c>
      <c r="S64" s="5" t="str">
        <f t="shared" si="6"/>
        <v>|  |  |  |  | |</v>
      </c>
      <c r="T64" s="5" t="str">
        <f t="shared" si="1"/>
        <v>|  |  |  |  | | |</v>
      </c>
      <c r="U64" s="5"/>
      <c r="V64" s="5" t="str">
        <f t="shared" si="7"/>
        <v>|  |  |  |  | | | | | | | | | |</v>
      </c>
    </row>
    <row r="65" spans="2:22" x14ac:dyDescent="0.55000000000000004">
      <c r="B65" s="4"/>
      <c r="C65" s="4"/>
      <c r="D65" s="5"/>
      <c r="E65" s="5"/>
      <c r="F65" s="5"/>
      <c r="G65" s="5"/>
      <c r="H65" s="4"/>
      <c r="I65" s="4"/>
      <c r="J65" s="4"/>
      <c r="K65" s="4"/>
      <c r="L65" s="4"/>
      <c r="M65" s="4"/>
      <c r="N65" s="4"/>
      <c r="O65" s="4"/>
      <c r="P65" s="5" t="str">
        <f t="shared" si="4"/>
        <v>|  |  |</v>
      </c>
      <c r="Q65" s="5" t="str">
        <f t="shared" si="3"/>
        <v>|  |  |  |</v>
      </c>
      <c r="R65" s="5" t="str">
        <f t="shared" si="5"/>
        <v>|  |  |  |  |</v>
      </c>
      <c r="S65" s="5" t="str">
        <f t="shared" si="6"/>
        <v>|  |  |  |  | |</v>
      </c>
      <c r="T65" s="5" t="str">
        <f t="shared" si="1"/>
        <v>|  |  |  |  | | |</v>
      </c>
      <c r="U65" s="5"/>
      <c r="V65" s="5" t="str">
        <f t="shared" si="7"/>
        <v>|  |  |  |  | | | | | | | | | |</v>
      </c>
    </row>
    <row r="66" spans="2:22" ht="30.75" x14ac:dyDescent="0.55000000000000004">
      <c r="B66" s="4"/>
      <c r="C66" s="4"/>
      <c r="D66" s="5"/>
      <c r="E66" s="5"/>
      <c r="F66" s="5"/>
      <c r="G66" s="5"/>
      <c r="H66" s="4"/>
      <c r="I66" s="4"/>
      <c r="J66" s="4"/>
      <c r="K66" s="4"/>
      <c r="L66" s="4"/>
      <c r="M66" s="4"/>
      <c r="N66" s="4"/>
      <c r="O66" s="4"/>
      <c r="P66" s="5" t="str">
        <f t="shared" si="4"/>
        <v>|  |  |</v>
      </c>
      <c r="Q66" s="5" t="str">
        <f t="shared" si="3"/>
        <v>|  |  |  |</v>
      </c>
      <c r="R66" s="5" t="str">
        <f t="shared" si="5"/>
        <v>|  |  |  |  |</v>
      </c>
      <c r="S66" s="5" t="str">
        <f t="shared" si="6"/>
        <v>|  |  |  |  | |</v>
      </c>
      <c r="T66" s="5" t="str">
        <f t="shared" si="1"/>
        <v>|  |  |  |  | | |</v>
      </c>
      <c r="U66" s="5"/>
      <c r="V66" s="5" t="str">
        <f t="shared" si="7"/>
        <v>|  |  |  |  | | | | | | | | | |</v>
      </c>
    </row>
    <row r="67" spans="2:22" ht="30.75" x14ac:dyDescent="0.55000000000000004">
      <c r="B67" s="4"/>
      <c r="C67" s="4"/>
      <c r="D67" s="5"/>
      <c r="E67" s="5"/>
      <c r="F67" s="5"/>
      <c r="G67" s="5"/>
      <c r="H67" s="4"/>
      <c r="I67" s="4"/>
      <c r="J67" s="4"/>
      <c r="K67" s="4"/>
      <c r="L67" s="4"/>
      <c r="M67" s="4"/>
      <c r="N67" s="4"/>
      <c r="O67" s="4"/>
      <c r="P67" s="5" t="str">
        <f t="shared" si="4"/>
        <v>|  |  |</v>
      </c>
      <c r="Q67" s="5" t="str">
        <f t="shared" si="3"/>
        <v>|  |  |  |</v>
      </c>
      <c r="R67" s="5" t="str">
        <f t="shared" si="5"/>
        <v>|  |  |  |  |</v>
      </c>
      <c r="S67" s="5" t="str">
        <f t="shared" si="6"/>
        <v>|  |  |  |  | |</v>
      </c>
      <c r="T67" s="5" t="str">
        <f t="shared" si="1"/>
        <v>|  |  |  |  | | |</v>
      </c>
      <c r="U67" s="5"/>
      <c r="V67" s="5" t="str">
        <f t="shared" si="7"/>
        <v>|  |  |  |  | | | | | | | | | |</v>
      </c>
    </row>
    <row r="68" spans="2:22" ht="30.75" x14ac:dyDescent="0.55000000000000004">
      <c r="B68" s="4"/>
      <c r="C68" s="4"/>
      <c r="D68" s="5"/>
      <c r="E68" s="5"/>
      <c r="F68" s="5"/>
      <c r="G68" s="5"/>
      <c r="H68" s="4"/>
      <c r="I68" s="4"/>
      <c r="J68" s="4"/>
      <c r="K68" s="4"/>
      <c r="L68" s="4"/>
      <c r="M68" s="4"/>
      <c r="N68" s="4"/>
      <c r="O68" s="4"/>
      <c r="P68" s="5" t="str">
        <f t="shared" si="4"/>
        <v>|  |  |</v>
      </c>
      <c r="Q68" s="5" t="str">
        <f t="shared" si="3"/>
        <v>|  |  |  |</v>
      </c>
      <c r="R68" s="5" t="str">
        <f t="shared" si="5"/>
        <v>|  |  |  |  |</v>
      </c>
      <c r="S68" s="5" t="str">
        <f t="shared" si="6"/>
        <v>|  |  |  |  | |</v>
      </c>
      <c r="T68" s="5" t="str">
        <f t="shared" ref="T68:T103" si="8">_xlfn.CONCAT("| ",B68," | ",C68," | ",D68," | ",E68," |",F68," |",G68," |")</f>
        <v>|  |  |  |  | | |</v>
      </c>
      <c r="U68" s="5"/>
      <c r="V68" s="5" t="str">
        <f t="shared" si="7"/>
        <v>|  |  |  |  | | | | | | | | | |</v>
      </c>
    </row>
    <row r="69" spans="2:22" ht="30.75" x14ac:dyDescent="0.55000000000000004">
      <c r="B69" s="4"/>
      <c r="C69" s="4"/>
      <c r="D69" s="5"/>
      <c r="E69" s="5"/>
      <c r="F69" s="5"/>
      <c r="G69" s="5"/>
      <c r="H69" s="4"/>
      <c r="I69" s="4"/>
      <c r="J69" s="4"/>
      <c r="K69" s="4"/>
      <c r="L69" s="4"/>
      <c r="M69" s="4"/>
      <c r="N69" s="4"/>
      <c r="O69" s="4"/>
      <c r="P69" s="5" t="str">
        <f t="shared" si="4"/>
        <v>|  |  |</v>
      </c>
      <c r="Q69" s="5" t="str">
        <f t="shared" ref="Q69:Q132" si="9">_xlfn.CONCAT("| ",B69," | ",C69," | ",D69," |")</f>
        <v>|  |  |  |</v>
      </c>
      <c r="R69" s="5" t="str">
        <f t="shared" si="5"/>
        <v>|  |  |  |  |</v>
      </c>
      <c r="S69" s="5" t="str">
        <f t="shared" si="6"/>
        <v>|  |  |  |  | |</v>
      </c>
      <c r="T69" s="5" t="str">
        <f t="shared" si="8"/>
        <v>|  |  |  |  | | |</v>
      </c>
      <c r="U69" s="5"/>
      <c r="V69" s="5" t="str">
        <f t="shared" si="7"/>
        <v>|  |  |  |  | | | | | | | | | |</v>
      </c>
    </row>
    <row r="70" spans="2:22" ht="30.75" x14ac:dyDescent="0.55000000000000004">
      <c r="B70" s="4"/>
      <c r="C70" s="4"/>
      <c r="D70" s="5"/>
      <c r="E70" s="5"/>
      <c r="F70" s="5"/>
      <c r="G70" s="5"/>
      <c r="H70" s="4"/>
      <c r="I70" s="4"/>
      <c r="J70" s="4"/>
      <c r="K70" s="4"/>
      <c r="L70" s="4"/>
      <c r="M70" s="4"/>
      <c r="N70" s="4"/>
      <c r="O70" s="4"/>
      <c r="P70" s="5" t="str">
        <f t="shared" ref="P70:P133" si="10">_xlfn.CONCAT("| ",B70," | ",C70," |")</f>
        <v>|  |  |</v>
      </c>
      <c r="Q70" s="5" t="str">
        <f t="shared" si="9"/>
        <v>|  |  |  |</v>
      </c>
      <c r="R70" s="5" t="str">
        <f t="shared" ref="R70:R103" si="11">_xlfn.CONCAT("| ",B70," | ",C70," | ",D70," | ",E70," |")</f>
        <v>|  |  |  |  |</v>
      </c>
      <c r="S70" s="5" t="str">
        <f t="shared" ref="S70:S103" si="12">_xlfn.CONCAT("| ",B70," | ",C70," | ",D70," | ",E70," |",F70," |")</f>
        <v>|  |  |  |  | |</v>
      </c>
      <c r="T70" s="5" t="str">
        <f t="shared" si="8"/>
        <v>|  |  |  |  | | |</v>
      </c>
      <c r="U70" s="5"/>
      <c r="V70" s="5" t="str">
        <f t="shared" si="7"/>
        <v>|  |  |  |  | | | | | | | | | |</v>
      </c>
    </row>
    <row r="71" spans="2:22" x14ac:dyDescent="0.55000000000000004">
      <c r="B71" s="4"/>
      <c r="C71" s="4"/>
      <c r="D71" s="5"/>
      <c r="E71" s="5"/>
      <c r="F71" s="5"/>
      <c r="G71" s="5"/>
      <c r="H71" s="4"/>
      <c r="I71" s="4"/>
      <c r="J71" s="4"/>
      <c r="K71" s="4"/>
      <c r="L71" s="4"/>
      <c r="M71" s="4"/>
      <c r="N71" s="4"/>
      <c r="O71" s="4"/>
      <c r="P71" s="5" t="str">
        <f t="shared" si="10"/>
        <v>|  |  |</v>
      </c>
      <c r="Q71" s="5" t="str">
        <f t="shared" si="9"/>
        <v>|  |  |  |</v>
      </c>
      <c r="R71" s="5" t="str">
        <f t="shared" si="11"/>
        <v>|  |  |  |  |</v>
      </c>
      <c r="S71" s="5" t="str">
        <f t="shared" si="12"/>
        <v>|  |  |  |  | |</v>
      </c>
      <c r="T71" s="5" t="str">
        <f t="shared" si="8"/>
        <v>|  |  |  |  | | |</v>
      </c>
      <c r="U71" s="5"/>
      <c r="V71" s="5" t="str">
        <f t="shared" si="7"/>
        <v>|  |  |  |  | | | | | | | | | |</v>
      </c>
    </row>
    <row r="72" spans="2:22" x14ac:dyDescent="0.55000000000000004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5" t="str">
        <f t="shared" si="10"/>
        <v>|  |  |</v>
      </c>
      <c r="Q72" s="5" t="str">
        <f t="shared" si="9"/>
        <v>|  |  |  |</v>
      </c>
      <c r="R72" s="5" t="str">
        <f t="shared" si="11"/>
        <v>|  |  |  |  |</v>
      </c>
      <c r="S72" s="5" t="str">
        <f t="shared" si="12"/>
        <v>|  |  |  |  | |</v>
      </c>
      <c r="T72" s="5" t="str">
        <f t="shared" si="8"/>
        <v>|  |  |  |  | | |</v>
      </c>
      <c r="U72" s="5"/>
      <c r="V72" s="5" t="str">
        <f t="shared" si="7"/>
        <v>|  |  |  |  | | | | | | | | | |</v>
      </c>
    </row>
    <row r="73" spans="2:22" x14ac:dyDescent="0.55000000000000004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5" t="str">
        <f t="shared" si="10"/>
        <v>|  |  |</v>
      </c>
      <c r="Q73" s="5" t="str">
        <f t="shared" si="9"/>
        <v>|  |  |  |</v>
      </c>
      <c r="R73" s="5" t="str">
        <f t="shared" si="11"/>
        <v>|  |  |  |  |</v>
      </c>
      <c r="S73" s="5" t="str">
        <f t="shared" si="12"/>
        <v>|  |  |  |  | |</v>
      </c>
      <c r="T73" s="5" t="str">
        <f t="shared" si="8"/>
        <v>|  |  |  |  | | |</v>
      </c>
      <c r="U73" s="5"/>
      <c r="V73" s="5" t="str">
        <f t="shared" si="7"/>
        <v>|  |  |  |  | | | | | | | | | |</v>
      </c>
    </row>
    <row r="74" spans="2:22" x14ac:dyDescent="0.55000000000000004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5" t="str">
        <f t="shared" si="10"/>
        <v>|  |  |</v>
      </c>
      <c r="Q74" s="5" t="str">
        <f t="shared" si="9"/>
        <v>|  |  |  |</v>
      </c>
      <c r="R74" s="5" t="str">
        <f t="shared" si="11"/>
        <v>|  |  |  |  |</v>
      </c>
      <c r="S74" s="5" t="str">
        <f t="shared" si="12"/>
        <v>|  |  |  |  | |</v>
      </c>
      <c r="T74" s="5" t="str">
        <f t="shared" si="8"/>
        <v>|  |  |  |  | | |</v>
      </c>
      <c r="U74" s="5"/>
      <c r="V74" s="5" t="str">
        <f t="shared" si="7"/>
        <v>|  |  |  |  | | | | | | | | | |</v>
      </c>
    </row>
    <row r="75" spans="2:22" x14ac:dyDescent="0.55000000000000004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5" t="str">
        <f t="shared" si="10"/>
        <v>|  |  |</v>
      </c>
      <c r="Q75" s="5" t="str">
        <f t="shared" si="9"/>
        <v>|  |  |  |</v>
      </c>
      <c r="R75" s="5" t="str">
        <f t="shared" si="11"/>
        <v>|  |  |  |  |</v>
      </c>
      <c r="S75" s="5" t="str">
        <f t="shared" si="12"/>
        <v>|  |  |  |  | |</v>
      </c>
      <c r="T75" s="5" t="str">
        <f t="shared" si="8"/>
        <v>|  |  |  |  | | |</v>
      </c>
      <c r="U75" s="5"/>
      <c r="V75" s="5" t="str">
        <f t="shared" si="7"/>
        <v>|  |  |  |  | | | | | | | | | |</v>
      </c>
    </row>
    <row r="76" spans="2:22" x14ac:dyDescent="0.55000000000000004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5" t="str">
        <f t="shared" si="10"/>
        <v>|  |  |</v>
      </c>
      <c r="Q76" s="5" t="str">
        <f t="shared" si="9"/>
        <v>|  |  |  |</v>
      </c>
      <c r="R76" s="5" t="str">
        <f t="shared" si="11"/>
        <v>|  |  |  |  |</v>
      </c>
      <c r="S76" s="5" t="str">
        <f t="shared" si="12"/>
        <v>|  |  |  |  | |</v>
      </c>
      <c r="T76" s="5" t="str">
        <f t="shared" si="8"/>
        <v>|  |  |  |  | | |</v>
      </c>
      <c r="U76" s="5"/>
      <c r="V76" s="5" t="str">
        <f t="shared" si="7"/>
        <v>|  |  |  |  | | | | | | | | | |</v>
      </c>
    </row>
    <row r="77" spans="2:22" x14ac:dyDescent="0.55000000000000004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5" t="str">
        <f t="shared" si="10"/>
        <v>|  |  |</v>
      </c>
      <c r="Q77" s="5" t="str">
        <f t="shared" si="9"/>
        <v>|  |  |  |</v>
      </c>
      <c r="R77" s="5" t="str">
        <f t="shared" si="11"/>
        <v>|  |  |  |  |</v>
      </c>
      <c r="S77" s="5" t="str">
        <f t="shared" si="12"/>
        <v>|  |  |  |  | |</v>
      </c>
      <c r="T77" s="5" t="str">
        <f t="shared" si="8"/>
        <v>|  |  |  |  | | |</v>
      </c>
      <c r="U77" s="5"/>
      <c r="V77" s="5" t="str">
        <f t="shared" si="7"/>
        <v>|  |  |  |  | | | | | | | | | |</v>
      </c>
    </row>
    <row r="78" spans="2:22" x14ac:dyDescent="0.55000000000000004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5" t="str">
        <f t="shared" si="10"/>
        <v>|  |  |</v>
      </c>
      <c r="Q78" s="5" t="str">
        <f t="shared" si="9"/>
        <v>|  |  |  |</v>
      </c>
      <c r="R78" s="5" t="str">
        <f t="shared" si="11"/>
        <v>|  |  |  |  |</v>
      </c>
      <c r="S78" s="5" t="str">
        <f t="shared" si="12"/>
        <v>|  |  |  |  | |</v>
      </c>
      <c r="T78" s="5" t="str">
        <f t="shared" si="8"/>
        <v>|  |  |  |  | | |</v>
      </c>
      <c r="U78" s="5"/>
      <c r="V78" s="5" t="str">
        <f t="shared" si="7"/>
        <v>|  |  |  |  | | | | | | | | | |</v>
      </c>
    </row>
    <row r="79" spans="2:22" x14ac:dyDescent="0.55000000000000004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5" t="str">
        <f t="shared" si="10"/>
        <v>|  |  |</v>
      </c>
      <c r="Q79" s="5" t="str">
        <f t="shared" si="9"/>
        <v>|  |  |  |</v>
      </c>
      <c r="R79" s="5" t="str">
        <f t="shared" si="11"/>
        <v>|  |  |  |  |</v>
      </c>
      <c r="S79" s="5" t="str">
        <f t="shared" si="12"/>
        <v>|  |  |  |  | |</v>
      </c>
      <c r="T79" s="5" t="str">
        <f t="shared" si="8"/>
        <v>|  |  |  |  | | |</v>
      </c>
      <c r="U79" s="5"/>
      <c r="V79" s="5" t="str">
        <f t="shared" si="7"/>
        <v>|  |  |  |  | | | | | | | | | |</v>
      </c>
    </row>
    <row r="80" spans="2:22" x14ac:dyDescent="0.55000000000000004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5" t="str">
        <f t="shared" si="10"/>
        <v>|  |  |</v>
      </c>
      <c r="Q80" s="5" t="str">
        <f t="shared" si="9"/>
        <v>|  |  |  |</v>
      </c>
      <c r="R80" s="5" t="str">
        <f t="shared" si="11"/>
        <v>|  |  |  |  |</v>
      </c>
      <c r="S80" s="5" t="str">
        <f t="shared" si="12"/>
        <v>|  |  |  |  | |</v>
      </c>
      <c r="T80" s="5" t="str">
        <f t="shared" si="8"/>
        <v>|  |  |  |  | | |</v>
      </c>
      <c r="U80" s="5"/>
      <c r="V80" s="5" t="str">
        <f t="shared" si="7"/>
        <v>|  |  |  |  | | | | | | | | | |</v>
      </c>
    </row>
    <row r="81" spans="2:22" x14ac:dyDescent="0.55000000000000004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5" t="str">
        <f t="shared" si="10"/>
        <v>|  |  |</v>
      </c>
      <c r="Q81" s="5" t="str">
        <f t="shared" si="9"/>
        <v>|  |  |  |</v>
      </c>
      <c r="R81" s="5" t="str">
        <f t="shared" si="11"/>
        <v>|  |  |  |  |</v>
      </c>
      <c r="S81" s="5" t="str">
        <f t="shared" si="12"/>
        <v>|  |  |  |  | |</v>
      </c>
      <c r="T81" s="5" t="str">
        <f t="shared" si="8"/>
        <v>|  |  |  |  | | |</v>
      </c>
      <c r="U81" s="5"/>
      <c r="V81" s="5" t="str">
        <f t="shared" si="7"/>
        <v>|  |  |  |  | | | | | | | | | |</v>
      </c>
    </row>
    <row r="82" spans="2:22" x14ac:dyDescent="0.55000000000000004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5" t="str">
        <f t="shared" si="10"/>
        <v>|  |  |</v>
      </c>
      <c r="Q82" s="5" t="str">
        <f t="shared" si="9"/>
        <v>|  |  |  |</v>
      </c>
      <c r="R82" s="5" t="str">
        <f t="shared" si="11"/>
        <v>|  |  |  |  |</v>
      </c>
      <c r="S82" s="5" t="str">
        <f t="shared" si="12"/>
        <v>|  |  |  |  | |</v>
      </c>
      <c r="T82" s="5" t="str">
        <f t="shared" si="8"/>
        <v>|  |  |  |  | | |</v>
      </c>
      <c r="U82" s="5"/>
      <c r="V82" s="5" t="str">
        <f t="shared" si="7"/>
        <v>|  |  |  |  | | | | | | | | | |</v>
      </c>
    </row>
    <row r="83" spans="2:22" x14ac:dyDescent="0.55000000000000004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5" t="str">
        <f t="shared" si="10"/>
        <v>|  |  |</v>
      </c>
      <c r="Q83" s="5" t="str">
        <f t="shared" si="9"/>
        <v>|  |  |  |</v>
      </c>
      <c r="R83" s="5" t="str">
        <f t="shared" si="11"/>
        <v>|  |  |  |  |</v>
      </c>
      <c r="S83" s="5" t="str">
        <f t="shared" si="12"/>
        <v>|  |  |  |  | |</v>
      </c>
      <c r="T83" s="5" t="str">
        <f t="shared" si="8"/>
        <v>|  |  |  |  | | |</v>
      </c>
      <c r="U83" s="5"/>
      <c r="V83" s="5" t="str">
        <f t="shared" si="7"/>
        <v>|  |  |  |  | | | | | | | | | |</v>
      </c>
    </row>
    <row r="84" spans="2:22" x14ac:dyDescent="0.55000000000000004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5" t="str">
        <f t="shared" si="10"/>
        <v>|  |  |</v>
      </c>
      <c r="Q84" s="5" t="str">
        <f t="shared" si="9"/>
        <v>|  |  |  |</v>
      </c>
      <c r="R84" s="5" t="str">
        <f t="shared" si="11"/>
        <v>|  |  |  |  |</v>
      </c>
      <c r="S84" s="5" t="str">
        <f t="shared" si="12"/>
        <v>|  |  |  |  | |</v>
      </c>
      <c r="T84" s="5" t="str">
        <f t="shared" si="8"/>
        <v>|  |  |  |  | | |</v>
      </c>
      <c r="U84" s="5"/>
      <c r="V84" s="5" t="str">
        <f t="shared" si="7"/>
        <v>|  |  |  |  | | | | | | | | | |</v>
      </c>
    </row>
    <row r="85" spans="2:22" x14ac:dyDescent="0.55000000000000004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5" t="str">
        <f t="shared" si="10"/>
        <v>|  |  |</v>
      </c>
      <c r="Q85" s="5" t="str">
        <f t="shared" si="9"/>
        <v>|  |  |  |</v>
      </c>
      <c r="R85" s="5" t="str">
        <f t="shared" si="11"/>
        <v>|  |  |  |  |</v>
      </c>
      <c r="S85" s="5" t="str">
        <f t="shared" si="12"/>
        <v>|  |  |  |  | |</v>
      </c>
      <c r="T85" s="5" t="str">
        <f t="shared" si="8"/>
        <v>|  |  |  |  | | |</v>
      </c>
      <c r="U85" s="5"/>
      <c r="V85" s="5" t="str">
        <f t="shared" si="7"/>
        <v>|  |  |  |  | | | | | | | | | |</v>
      </c>
    </row>
    <row r="86" spans="2:22" x14ac:dyDescent="0.55000000000000004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5" t="str">
        <f t="shared" si="10"/>
        <v>|  |  |</v>
      </c>
      <c r="Q86" s="5" t="str">
        <f t="shared" si="9"/>
        <v>|  |  |  |</v>
      </c>
      <c r="R86" s="5" t="str">
        <f t="shared" si="11"/>
        <v>|  |  |  |  |</v>
      </c>
      <c r="S86" s="5" t="str">
        <f t="shared" si="12"/>
        <v>|  |  |  |  | |</v>
      </c>
      <c r="T86" s="5" t="str">
        <f t="shared" si="8"/>
        <v>|  |  |  |  | | |</v>
      </c>
      <c r="U86" s="5"/>
      <c r="V86" s="5" t="str">
        <f t="shared" si="7"/>
        <v>|  |  |  |  | | | | | | | | | |</v>
      </c>
    </row>
    <row r="87" spans="2:22" x14ac:dyDescent="0.55000000000000004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5" t="str">
        <f t="shared" si="10"/>
        <v>|  |  |</v>
      </c>
      <c r="Q87" s="5" t="str">
        <f t="shared" si="9"/>
        <v>|  |  |  |</v>
      </c>
      <c r="R87" s="5" t="str">
        <f t="shared" si="11"/>
        <v>|  |  |  |  |</v>
      </c>
      <c r="S87" s="5" t="str">
        <f t="shared" si="12"/>
        <v>|  |  |  |  | |</v>
      </c>
      <c r="T87" s="5" t="str">
        <f t="shared" si="8"/>
        <v>|  |  |  |  | | |</v>
      </c>
      <c r="U87" s="5"/>
      <c r="V87" s="5" t="str">
        <f t="shared" si="7"/>
        <v>|  |  |  |  | | | | | | | | | |</v>
      </c>
    </row>
    <row r="88" spans="2:22" x14ac:dyDescent="0.55000000000000004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5" t="str">
        <f t="shared" si="10"/>
        <v>|  |  |</v>
      </c>
      <c r="Q88" s="5" t="str">
        <f t="shared" si="9"/>
        <v>|  |  |  |</v>
      </c>
      <c r="R88" s="5" t="str">
        <f t="shared" si="11"/>
        <v>|  |  |  |  |</v>
      </c>
      <c r="S88" s="5" t="str">
        <f t="shared" si="12"/>
        <v>|  |  |  |  | |</v>
      </c>
      <c r="T88" s="5" t="str">
        <f t="shared" si="8"/>
        <v>|  |  |  |  | | |</v>
      </c>
      <c r="U88" s="5"/>
      <c r="V88" s="5" t="str">
        <f t="shared" si="7"/>
        <v>|  |  |  |  | | | | | | | | | |</v>
      </c>
    </row>
    <row r="89" spans="2:22" x14ac:dyDescent="0.55000000000000004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5" t="str">
        <f t="shared" si="10"/>
        <v>|  |  |</v>
      </c>
      <c r="Q89" s="5" t="str">
        <f t="shared" si="9"/>
        <v>|  |  |  |</v>
      </c>
      <c r="R89" s="5" t="str">
        <f t="shared" si="11"/>
        <v>|  |  |  |  |</v>
      </c>
      <c r="S89" s="5" t="str">
        <f t="shared" si="12"/>
        <v>|  |  |  |  | |</v>
      </c>
      <c r="T89" s="5" t="str">
        <f t="shared" si="8"/>
        <v>|  |  |  |  | | |</v>
      </c>
      <c r="U89" s="5"/>
      <c r="V89" s="5" t="str">
        <f t="shared" si="7"/>
        <v>|  |  |  |  | | | | | | | | | |</v>
      </c>
    </row>
    <row r="90" spans="2:22" x14ac:dyDescent="0.55000000000000004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5" t="str">
        <f t="shared" si="10"/>
        <v>|  |  |</v>
      </c>
      <c r="Q90" s="5" t="str">
        <f t="shared" si="9"/>
        <v>|  |  |  |</v>
      </c>
      <c r="R90" s="5" t="str">
        <f t="shared" si="11"/>
        <v>|  |  |  |  |</v>
      </c>
      <c r="S90" s="5" t="str">
        <f t="shared" si="12"/>
        <v>|  |  |  |  | |</v>
      </c>
      <c r="T90" s="5" t="str">
        <f t="shared" si="8"/>
        <v>|  |  |  |  | | |</v>
      </c>
      <c r="U90" s="5"/>
      <c r="V90" s="5" t="str">
        <f t="shared" si="7"/>
        <v>|  |  |  |  | | | | | | | | | |</v>
      </c>
    </row>
    <row r="91" spans="2:22" x14ac:dyDescent="0.55000000000000004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5" t="str">
        <f t="shared" si="10"/>
        <v>|  |  |</v>
      </c>
      <c r="Q91" s="5" t="str">
        <f t="shared" si="9"/>
        <v>|  |  |  |</v>
      </c>
      <c r="R91" s="5" t="str">
        <f t="shared" si="11"/>
        <v>|  |  |  |  |</v>
      </c>
      <c r="S91" s="5" t="str">
        <f t="shared" si="12"/>
        <v>|  |  |  |  | |</v>
      </c>
      <c r="T91" s="5" t="str">
        <f t="shared" si="8"/>
        <v>|  |  |  |  | | |</v>
      </c>
      <c r="U91" s="5"/>
      <c r="V91" s="5" t="str">
        <f t="shared" si="7"/>
        <v>|  |  |  |  | | | | | | | | | |</v>
      </c>
    </row>
    <row r="92" spans="2:22" x14ac:dyDescent="0.55000000000000004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5" t="str">
        <f t="shared" si="10"/>
        <v>|  |  |</v>
      </c>
      <c r="Q92" s="5" t="str">
        <f t="shared" si="9"/>
        <v>|  |  |  |</v>
      </c>
      <c r="R92" s="5" t="str">
        <f t="shared" si="11"/>
        <v>|  |  |  |  |</v>
      </c>
      <c r="S92" s="5" t="str">
        <f t="shared" si="12"/>
        <v>|  |  |  |  | |</v>
      </c>
      <c r="T92" s="5" t="str">
        <f t="shared" si="8"/>
        <v>|  |  |  |  | | |</v>
      </c>
      <c r="U92" s="5"/>
      <c r="V92" s="5" t="str">
        <f t="shared" si="7"/>
        <v>|  |  |  |  | | | | | | | | | |</v>
      </c>
    </row>
    <row r="93" spans="2:22" x14ac:dyDescent="0.55000000000000004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5" t="str">
        <f t="shared" si="10"/>
        <v>|  |  |</v>
      </c>
      <c r="Q93" s="5" t="str">
        <f t="shared" si="9"/>
        <v>|  |  |  |</v>
      </c>
      <c r="R93" s="5" t="str">
        <f t="shared" si="11"/>
        <v>|  |  |  |  |</v>
      </c>
      <c r="S93" s="5" t="str">
        <f t="shared" si="12"/>
        <v>|  |  |  |  | |</v>
      </c>
      <c r="T93" s="5" t="str">
        <f t="shared" si="8"/>
        <v>|  |  |  |  | | |</v>
      </c>
      <c r="U93" s="5"/>
      <c r="V93" s="5" t="str">
        <f t="shared" si="7"/>
        <v>|  |  |  |  | | | | | | | | | |</v>
      </c>
    </row>
    <row r="94" spans="2:22" x14ac:dyDescent="0.55000000000000004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5" t="str">
        <f t="shared" si="10"/>
        <v>|  |  |</v>
      </c>
      <c r="Q94" s="5" t="str">
        <f t="shared" si="9"/>
        <v>|  |  |  |</v>
      </c>
      <c r="R94" s="5" t="str">
        <f t="shared" si="11"/>
        <v>|  |  |  |  |</v>
      </c>
      <c r="S94" s="5" t="str">
        <f t="shared" si="12"/>
        <v>|  |  |  |  | |</v>
      </c>
      <c r="T94" s="5" t="str">
        <f t="shared" si="8"/>
        <v>|  |  |  |  | | |</v>
      </c>
      <c r="U94" s="5"/>
      <c r="V94" s="5" t="str">
        <f t="shared" si="7"/>
        <v>|  |  |  |  | | | | | | | | | |</v>
      </c>
    </row>
    <row r="95" spans="2:22" x14ac:dyDescent="0.55000000000000004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5" t="str">
        <f t="shared" si="10"/>
        <v>|  |  |</v>
      </c>
      <c r="Q95" s="5" t="str">
        <f t="shared" si="9"/>
        <v>|  |  |  |</v>
      </c>
      <c r="R95" s="5" t="str">
        <f t="shared" si="11"/>
        <v>|  |  |  |  |</v>
      </c>
      <c r="S95" s="5" t="str">
        <f t="shared" si="12"/>
        <v>|  |  |  |  | |</v>
      </c>
      <c r="T95" s="5" t="str">
        <f t="shared" si="8"/>
        <v>|  |  |  |  | | |</v>
      </c>
      <c r="U95" s="5"/>
      <c r="V95" s="5" t="str">
        <f t="shared" si="7"/>
        <v>|  |  |  |  | | | | | | | | | |</v>
      </c>
    </row>
    <row r="96" spans="2:22" x14ac:dyDescent="0.55000000000000004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5" t="str">
        <f t="shared" si="10"/>
        <v>|  |  |</v>
      </c>
      <c r="Q96" s="5" t="str">
        <f t="shared" si="9"/>
        <v>|  |  |  |</v>
      </c>
      <c r="R96" s="5" t="str">
        <f t="shared" si="11"/>
        <v>|  |  |  |  |</v>
      </c>
      <c r="S96" s="5" t="str">
        <f t="shared" si="12"/>
        <v>|  |  |  |  | |</v>
      </c>
      <c r="T96" s="5" t="str">
        <f t="shared" si="8"/>
        <v>|  |  |  |  | | |</v>
      </c>
      <c r="U96" s="5"/>
      <c r="V96" s="5" t="str">
        <f t="shared" si="7"/>
        <v>|  |  |  |  | | | | | | | | | |</v>
      </c>
    </row>
    <row r="97" spans="2:22" x14ac:dyDescent="0.55000000000000004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5" t="str">
        <f t="shared" si="10"/>
        <v>|  |  |</v>
      </c>
      <c r="Q97" s="5" t="str">
        <f t="shared" si="9"/>
        <v>|  |  |  |</v>
      </c>
      <c r="R97" s="5" t="str">
        <f t="shared" si="11"/>
        <v>|  |  |  |  |</v>
      </c>
      <c r="S97" s="5" t="str">
        <f t="shared" si="12"/>
        <v>|  |  |  |  | |</v>
      </c>
      <c r="T97" s="5" t="str">
        <f t="shared" si="8"/>
        <v>|  |  |  |  | | |</v>
      </c>
      <c r="U97" s="5"/>
      <c r="V97" s="5" t="str">
        <f t="shared" si="7"/>
        <v>|  |  |  |  | | | | | | | | | |</v>
      </c>
    </row>
    <row r="98" spans="2:22" x14ac:dyDescent="0.55000000000000004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5" t="str">
        <f t="shared" si="10"/>
        <v>|  |  |</v>
      </c>
      <c r="Q98" s="5" t="str">
        <f t="shared" si="9"/>
        <v>|  |  |  |</v>
      </c>
      <c r="R98" s="5" t="str">
        <f t="shared" si="11"/>
        <v>|  |  |  |  |</v>
      </c>
      <c r="S98" s="5" t="str">
        <f t="shared" si="12"/>
        <v>|  |  |  |  | |</v>
      </c>
      <c r="T98" s="5" t="str">
        <f t="shared" si="8"/>
        <v>|  |  |  |  | | |</v>
      </c>
      <c r="U98" s="5"/>
      <c r="V98" s="5" t="str">
        <f t="shared" si="7"/>
        <v>|  |  |  |  | | | | | | | | | |</v>
      </c>
    </row>
    <row r="99" spans="2:22" x14ac:dyDescent="0.55000000000000004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5" t="str">
        <f t="shared" si="10"/>
        <v>|  |  |</v>
      </c>
      <c r="Q99" s="5" t="str">
        <f t="shared" si="9"/>
        <v>|  |  |  |</v>
      </c>
      <c r="R99" s="5" t="str">
        <f t="shared" si="11"/>
        <v>|  |  |  |  |</v>
      </c>
      <c r="S99" s="5" t="str">
        <f t="shared" si="12"/>
        <v>|  |  |  |  | |</v>
      </c>
      <c r="T99" s="5" t="str">
        <f t="shared" si="8"/>
        <v>|  |  |  |  | | |</v>
      </c>
      <c r="U99" s="5"/>
      <c r="V99" s="5" t="str">
        <f t="shared" si="7"/>
        <v>|  |  |  |  | | | | | | | | | |</v>
      </c>
    </row>
    <row r="100" spans="2:22" x14ac:dyDescent="0.55000000000000004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5" t="str">
        <f t="shared" si="10"/>
        <v>|  |  |</v>
      </c>
      <c r="Q100" s="5" t="str">
        <f t="shared" si="9"/>
        <v>|  |  |  |</v>
      </c>
      <c r="R100" s="5" t="str">
        <f t="shared" si="11"/>
        <v>|  |  |  |  |</v>
      </c>
      <c r="S100" s="5" t="str">
        <f t="shared" si="12"/>
        <v>|  |  |  |  | |</v>
      </c>
      <c r="T100" s="5" t="str">
        <f t="shared" si="8"/>
        <v>|  |  |  |  | | |</v>
      </c>
      <c r="U100" s="5"/>
      <c r="V100" s="5" t="str">
        <f t="shared" si="7"/>
        <v>|  |  |  |  | | | | | | | | | |</v>
      </c>
    </row>
    <row r="101" spans="2:22" x14ac:dyDescent="0.55000000000000004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5" t="str">
        <f t="shared" si="10"/>
        <v>|  |  |</v>
      </c>
      <c r="Q101" s="5" t="str">
        <f t="shared" si="9"/>
        <v>|  |  |  |</v>
      </c>
      <c r="R101" s="5" t="str">
        <f t="shared" si="11"/>
        <v>|  |  |  |  |</v>
      </c>
      <c r="S101" s="5" t="str">
        <f t="shared" si="12"/>
        <v>|  |  |  |  | |</v>
      </c>
      <c r="T101" s="5" t="str">
        <f t="shared" si="8"/>
        <v>|  |  |  |  | | |</v>
      </c>
      <c r="U101" s="5"/>
      <c r="V101" s="5" t="str">
        <f t="shared" si="7"/>
        <v>|  |  |  |  | | | | | | | | | |</v>
      </c>
    </row>
    <row r="102" spans="2:22" x14ac:dyDescent="0.55000000000000004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5" t="str">
        <f t="shared" si="10"/>
        <v>|  |  |</v>
      </c>
      <c r="Q102" s="5" t="str">
        <f t="shared" si="9"/>
        <v>|  |  |  |</v>
      </c>
      <c r="R102" s="5" t="str">
        <f t="shared" si="11"/>
        <v>|  |  |  |  |</v>
      </c>
      <c r="S102" s="5" t="str">
        <f t="shared" si="12"/>
        <v>|  |  |  |  | |</v>
      </c>
      <c r="T102" s="5" t="str">
        <f t="shared" si="8"/>
        <v>|  |  |  |  | | |</v>
      </c>
      <c r="U102" s="5"/>
      <c r="V102" s="5" t="str">
        <f t="shared" si="7"/>
        <v>|  |  |  |  | | | | | | | | | |</v>
      </c>
    </row>
    <row r="103" spans="2:22" x14ac:dyDescent="0.55000000000000004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5" t="str">
        <f t="shared" si="10"/>
        <v>|  |  |</v>
      </c>
      <c r="Q103" s="5" t="str">
        <f t="shared" si="9"/>
        <v>|  |  |  |</v>
      </c>
      <c r="R103" s="5" t="str">
        <f t="shared" si="11"/>
        <v>|  |  |  |  |</v>
      </c>
      <c r="S103" s="5" t="str">
        <f t="shared" si="12"/>
        <v>|  |  |  |  | |</v>
      </c>
      <c r="T103" s="5" t="str">
        <f t="shared" si="8"/>
        <v>|  |  |  |  | | |</v>
      </c>
      <c r="U103" s="5"/>
      <c r="V103" s="5" t="str">
        <f t="shared" si="7"/>
        <v>|  |  |  |  | | | | | | | | | |</v>
      </c>
    </row>
    <row r="104" spans="2:22" x14ac:dyDescent="0.55000000000000004">
      <c r="P104" s="5" t="str">
        <f t="shared" si="10"/>
        <v>|  |  |</v>
      </c>
      <c r="Q104" s="5" t="str">
        <f t="shared" si="9"/>
        <v>|  |  |  |</v>
      </c>
    </row>
    <row r="105" spans="2:22" x14ac:dyDescent="0.55000000000000004">
      <c r="P105" s="5" t="str">
        <f t="shared" si="10"/>
        <v>|  |  |</v>
      </c>
      <c r="Q105" s="5" t="str">
        <f t="shared" si="9"/>
        <v>|  |  |  |</v>
      </c>
    </row>
    <row r="106" spans="2:22" x14ac:dyDescent="0.55000000000000004">
      <c r="P106" s="5" t="str">
        <f t="shared" si="10"/>
        <v>|  |  |</v>
      </c>
      <c r="Q106" s="5" t="str">
        <f t="shared" si="9"/>
        <v>|  |  |  |</v>
      </c>
    </row>
    <row r="107" spans="2:22" x14ac:dyDescent="0.55000000000000004">
      <c r="P107" s="5" t="str">
        <f t="shared" si="10"/>
        <v>|  |  |</v>
      </c>
      <c r="Q107" s="5" t="str">
        <f t="shared" si="9"/>
        <v>|  |  |  |</v>
      </c>
    </row>
    <row r="108" spans="2:22" x14ac:dyDescent="0.55000000000000004">
      <c r="P108" s="5" t="str">
        <f t="shared" si="10"/>
        <v>|  |  |</v>
      </c>
      <c r="Q108" s="5" t="str">
        <f t="shared" si="9"/>
        <v>|  |  |  |</v>
      </c>
    </row>
    <row r="109" spans="2:22" x14ac:dyDescent="0.55000000000000004">
      <c r="P109" s="5" t="str">
        <f t="shared" si="10"/>
        <v>|  |  |</v>
      </c>
      <c r="Q109" s="5" t="str">
        <f t="shared" si="9"/>
        <v>|  |  |  |</v>
      </c>
    </row>
    <row r="110" spans="2:22" x14ac:dyDescent="0.55000000000000004">
      <c r="P110" s="5" t="str">
        <f t="shared" si="10"/>
        <v>|  |  |</v>
      </c>
      <c r="Q110" s="5" t="str">
        <f t="shared" si="9"/>
        <v>|  |  |  |</v>
      </c>
    </row>
    <row r="111" spans="2:22" x14ac:dyDescent="0.55000000000000004">
      <c r="P111" s="5" t="str">
        <f t="shared" si="10"/>
        <v>|  |  |</v>
      </c>
      <c r="Q111" s="5" t="str">
        <f t="shared" si="9"/>
        <v>|  |  |  |</v>
      </c>
    </row>
    <row r="112" spans="2:22" x14ac:dyDescent="0.55000000000000004">
      <c r="P112" s="5" t="str">
        <f t="shared" si="10"/>
        <v>|  |  |</v>
      </c>
      <c r="Q112" s="5" t="str">
        <f t="shared" si="9"/>
        <v>|  |  |  |</v>
      </c>
    </row>
    <row r="113" spans="16:17" x14ac:dyDescent="0.55000000000000004">
      <c r="P113" s="5" t="str">
        <f t="shared" si="10"/>
        <v>|  |  |</v>
      </c>
      <c r="Q113" s="5" t="str">
        <f t="shared" si="9"/>
        <v>|  |  |  |</v>
      </c>
    </row>
    <row r="114" spans="16:17" x14ac:dyDescent="0.55000000000000004">
      <c r="P114" s="5" t="str">
        <f t="shared" si="10"/>
        <v>|  |  |</v>
      </c>
      <c r="Q114" s="5" t="str">
        <f t="shared" si="9"/>
        <v>|  |  |  |</v>
      </c>
    </row>
    <row r="115" spans="16:17" x14ac:dyDescent="0.55000000000000004">
      <c r="P115" s="5" t="str">
        <f t="shared" si="10"/>
        <v>|  |  |</v>
      </c>
      <c r="Q115" s="5" t="str">
        <f t="shared" si="9"/>
        <v>|  |  |  |</v>
      </c>
    </row>
    <row r="116" spans="16:17" x14ac:dyDescent="0.55000000000000004">
      <c r="P116" s="5" t="str">
        <f t="shared" si="10"/>
        <v>|  |  |</v>
      </c>
      <c r="Q116" s="5" t="str">
        <f t="shared" si="9"/>
        <v>|  |  |  |</v>
      </c>
    </row>
    <row r="117" spans="16:17" x14ac:dyDescent="0.55000000000000004">
      <c r="P117" s="5" t="str">
        <f t="shared" si="10"/>
        <v>|  |  |</v>
      </c>
      <c r="Q117" s="5" t="str">
        <f t="shared" si="9"/>
        <v>|  |  |  |</v>
      </c>
    </row>
    <row r="118" spans="16:17" x14ac:dyDescent="0.55000000000000004">
      <c r="P118" s="5" t="str">
        <f t="shared" si="10"/>
        <v>|  |  |</v>
      </c>
      <c r="Q118" s="5" t="str">
        <f t="shared" si="9"/>
        <v>|  |  |  |</v>
      </c>
    </row>
    <row r="119" spans="16:17" x14ac:dyDescent="0.55000000000000004">
      <c r="P119" s="5" t="str">
        <f t="shared" si="10"/>
        <v>|  |  |</v>
      </c>
      <c r="Q119" s="5" t="str">
        <f t="shared" si="9"/>
        <v>|  |  |  |</v>
      </c>
    </row>
    <row r="120" spans="16:17" x14ac:dyDescent="0.55000000000000004">
      <c r="P120" s="5" t="str">
        <f t="shared" si="10"/>
        <v>|  |  |</v>
      </c>
      <c r="Q120" s="5" t="str">
        <f t="shared" si="9"/>
        <v>|  |  |  |</v>
      </c>
    </row>
    <row r="121" spans="16:17" x14ac:dyDescent="0.55000000000000004">
      <c r="P121" s="5" t="str">
        <f t="shared" si="10"/>
        <v>|  |  |</v>
      </c>
      <c r="Q121" s="5" t="str">
        <f t="shared" si="9"/>
        <v>|  |  |  |</v>
      </c>
    </row>
    <row r="122" spans="16:17" x14ac:dyDescent="0.55000000000000004">
      <c r="P122" s="5" t="str">
        <f t="shared" si="10"/>
        <v>|  |  |</v>
      </c>
      <c r="Q122" s="5" t="str">
        <f t="shared" si="9"/>
        <v>|  |  |  |</v>
      </c>
    </row>
    <row r="123" spans="16:17" x14ac:dyDescent="0.55000000000000004">
      <c r="P123" s="5" t="str">
        <f t="shared" si="10"/>
        <v>|  |  |</v>
      </c>
      <c r="Q123" s="5" t="str">
        <f t="shared" si="9"/>
        <v>|  |  |  |</v>
      </c>
    </row>
    <row r="124" spans="16:17" x14ac:dyDescent="0.55000000000000004">
      <c r="P124" s="5" t="str">
        <f t="shared" si="10"/>
        <v>|  |  |</v>
      </c>
      <c r="Q124" s="5" t="str">
        <f t="shared" si="9"/>
        <v>|  |  |  |</v>
      </c>
    </row>
    <row r="125" spans="16:17" x14ac:dyDescent="0.55000000000000004">
      <c r="P125" s="5" t="str">
        <f t="shared" si="10"/>
        <v>|  |  |</v>
      </c>
      <c r="Q125" s="5" t="str">
        <f t="shared" si="9"/>
        <v>|  |  |  |</v>
      </c>
    </row>
    <row r="126" spans="16:17" x14ac:dyDescent="0.55000000000000004">
      <c r="P126" s="5" t="str">
        <f t="shared" si="10"/>
        <v>|  |  |</v>
      </c>
      <c r="Q126" s="5" t="str">
        <f t="shared" si="9"/>
        <v>|  |  |  |</v>
      </c>
    </row>
    <row r="127" spans="16:17" x14ac:dyDescent="0.55000000000000004">
      <c r="P127" s="5" t="str">
        <f t="shared" si="10"/>
        <v>|  |  |</v>
      </c>
      <c r="Q127" s="5" t="str">
        <f t="shared" si="9"/>
        <v>|  |  |  |</v>
      </c>
    </row>
    <row r="128" spans="16:17" x14ac:dyDescent="0.55000000000000004">
      <c r="P128" s="5" t="str">
        <f t="shared" si="10"/>
        <v>|  |  |</v>
      </c>
      <c r="Q128" s="5" t="str">
        <f t="shared" si="9"/>
        <v>|  |  |  |</v>
      </c>
    </row>
    <row r="129" spans="16:17" x14ac:dyDescent="0.55000000000000004">
      <c r="P129" s="5" t="str">
        <f t="shared" si="10"/>
        <v>|  |  |</v>
      </c>
      <c r="Q129" s="5" t="str">
        <f t="shared" si="9"/>
        <v>|  |  |  |</v>
      </c>
    </row>
    <row r="130" spans="16:17" x14ac:dyDescent="0.55000000000000004">
      <c r="P130" s="5" t="str">
        <f t="shared" si="10"/>
        <v>|  |  |</v>
      </c>
      <c r="Q130" s="5" t="str">
        <f t="shared" si="9"/>
        <v>|  |  |  |</v>
      </c>
    </row>
    <row r="131" spans="16:17" x14ac:dyDescent="0.55000000000000004">
      <c r="P131" s="5" t="str">
        <f t="shared" si="10"/>
        <v>|  |  |</v>
      </c>
      <c r="Q131" s="5" t="str">
        <f t="shared" si="9"/>
        <v>|  |  |  |</v>
      </c>
    </row>
    <row r="132" spans="16:17" x14ac:dyDescent="0.55000000000000004">
      <c r="P132" s="5" t="str">
        <f t="shared" si="10"/>
        <v>|  |  |</v>
      </c>
      <c r="Q132" s="5" t="str">
        <f t="shared" si="9"/>
        <v>|  |  |  |</v>
      </c>
    </row>
    <row r="133" spans="16:17" x14ac:dyDescent="0.55000000000000004">
      <c r="P133" s="5" t="str">
        <f t="shared" si="10"/>
        <v>|  |  |</v>
      </c>
      <c r="Q133" s="5" t="str">
        <f t="shared" ref="Q133:Q196" si="13">_xlfn.CONCAT("| ",B133," | ",C133," | ",D133," |")</f>
        <v>|  |  |  |</v>
      </c>
    </row>
    <row r="134" spans="16:17" x14ac:dyDescent="0.55000000000000004">
      <c r="Q134" s="5" t="str">
        <f t="shared" si="13"/>
        <v>|  |  |  |</v>
      </c>
    </row>
    <row r="135" spans="16:17" x14ac:dyDescent="0.55000000000000004">
      <c r="Q135" s="5" t="str">
        <f t="shared" si="13"/>
        <v>|  |  |  |</v>
      </c>
    </row>
    <row r="136" spans="16:17" x14ac:dyDescent="0.55000000000000004">
      <c r="Q136" s="5" t="str">
        <f t="shared" si="13"/>
        <v>|  |  |  |</v>
      </c>
    </row>
    <row r="137" spans="16:17" x14ac:dyDescent="0.55000000000000004">
      <c r="Q137" s="5" t="str">
        <f t="shared" si="13"/>
        <v>|  |  |  |</v>
      </c>
    </row>
    <row r="138" spans="16:17" x14ac:dyDescent="0.55000000000000004">
      <c r="Q138" s="5" t="str">
        <f t="shared" si="13"/>
        <v>|  |  |  |</v>
      </c>
    </row>
    <row r="139" spans="16:17" x14ac:dyDescent="0.55000000000000004">
      <c r="Q139" s="5" t="str">
        <f t="shared" si="13"/>
        <v>|  |  |  |</v>
      </c>
    </row>
    <row r="140" spans="16:17" x14ac:dyDescent="0.55000000000000004">
      <c r="Q140" s="5" t="str">
        <f t="shared" si="13"/>
        <v>|  |  |  |</v>
      </c>
    </row>
    <row r="141" spans="16:17" x14ac:dyDescent="0.55000000000000004">
      <c r="Q141" s="5" t="str">
        <f t="shared" si="13"/>
        <v>|  |  |  |</v>
      </c>
    </row>
    <row r="142" spans="16:17" x14ac:dyDescent="0.55000000000000004">
      <c r="Q142" s="5" t="str">
        <f t="shared" si="13"/>
        <v>|  |  |  |</v>
      </c>
    </row>
    <row r="143" spans="16:17" x14ac:dyDescent="0.55000000000000004">
      <c r="Q143" s="5" t="str">
        <f t="shared" si="13"/>
        <v>|  |  |  |</v>
      </c>
    </row>
    <row r="144" spans="16:17" x14ac:dyDescent="0.55000000000000004">
      <c r="Q144" s="5" t="str">
        <f t="shared" si="13"/>
        <v>|  |  |  |</v>
      </c>
    </row>
    <row r="145" spans="17:17" x14ac:dyDescent="0.55000000000000004">
      <c r="Q145" s="5" t="str">
        <f t="shared" si="13"/>
        <v>|  |  |  |</v>
      </c>
    </row>
    <row r="146" spans="17:17" x14ac:dyDescent="0.55000000000000004">
      <c r="Q146" s="5" t="str">
        <f t="shared" si="13"/>
        <v>|  |  |  |</v>
      </c>
    </row>
    <row r="147" spans="17:17" x14ac:dyDescent="0.55000000000000004">
      <c r="Q147" s="5" t="str">
        <f t="shared" si="13"/>
        <v>|  |  |  |</v>
      </c>
    </row>
    <row r="148" spans="17:17" x14ac:dyDescent="0.55000000000000004">
      <c r="Q148" s="5" t="str">
        <f t="shared" si="13"/>
        <v>|  |  |  |</v>
      </c>
    </row>
    <row r="149" spans="17:17" x14ac:dyDescent="0.55000000000000004">
      <c r="Q149" s="5" t="str">
        <f t="shared" si="13"/>
        <v>|  |  |  |</v>
      </c>
    </row>
    <row r="150" spans="17:17" x14ac:dyDescent="0.55000000000000004">
      <c r="Q150" s="5" t="str">
        <f t="shared" si="13"/>
        <v>|  |  |  |</v>
      </c>
    </row>
    <row r="151" spans="17:17" x14ac:dyDescent="0.55000000000000004">
      <c r="Q151" s="5" t="str">
        <f t="shared" si="13"/>
        <v>|  |  |  |</v>
      </c>
    </row>
    <row r="152" spans="17:17" x14ac:dyDescent="0.55000000000000004">
      <c r="Q152" s="5" t="str">
        <f t="shared" si="13"/>
        <v>|  |  |  |</v>
      </c>
    </row>
    <row r="153" spans="17:17" x14ac:dyDescent="0.55000000000000004">
      <c r="Q153" s="5" t="str">
        <f t="shared" si="13"/>
        <v>|  |  |  |</v>
      </c>
    </row>
    <row r="154" spans="17:17" x14ac:dyDescent="0.55000000000000004">
      <c r="Q154" s="5" t="str">
        <f t="shared" si="13"/>
        <v>|  |  |  |</v>
      </c>
    </row>
    <row r="155" spans="17:17" x14ac:dyDescent="0.55000000000000004">
      <c r="Q155" s="5" t="str">
        <f t="shared" si="13"/>
        <v>|  |  |  |</v>
      </c>
    </row>
    <row r="156" spans="17:17" x14ac:dyDescent="0.55000000000000004">
      <c r="Q156" s="5" t="str">
        <f t="shared" si="13"/>
        <v>|  |  |  |</v>
      </c>
    </row>
    <row r="157" spans="17:17" x14ac:dyDescent="0.55000000000000004">
      <c r="Q157" s="5" t="str">
        <f t="shared" si="13"/>
        <v>|  |  |  |</v>
      </c>
    </row>
    <row r="158" spans="17:17" x14ac:dyDescent="0.55000000000000004">
      <c r="Q158" s="5" t="str">
        <f t="shared" si="13"/>
        <v>|  |  |  |</v>
      </c>
    </row>
    <row r="159" spans="17:17" x14ac:dyDescent="0.55000000000000004">
      <c r="Q159" s="5" t="str">
        <f t="shared" si="13"/>
        <v>|  |  |  |</v>
      </c>
    </row>
    <row r="160" spans="17:17" x14ac:dyDescent="0.55000000000000004">
      <c r="Q160" s="5" t="str">
        <f t="shared" si="13"/>
        <v>|  |  |  |</v>
      </c>
    </row>
    <row r="161" spans="17:17" x14ac:dyDescent="0.55000000000000004">
      <c r="Q161" s="5" t="str">
        <f t="shared" si="13"/>
        <v>|  |  |  |</v>
      </c>
    </row>
    <row r="162" spans="17:17" x14ac:dyDescent="0.55000000000000004">
      <c r="Q162" s="5" t="str">
        <f t="shared" si="13"/>
        <v>|  |  |  |</v>
      </c>
    </row>
    <row r="163" spans="17:17" x14ac:dyDescent="0.55000000000000004">
      <c r="Q163" s="5" t="str">
        <f t="shared" si="13"/>
        <v>|  |  |  |</v>
      </c>
    </row>
    <row r="164" spans="17:17" x14ac:dyDescent="0.55000000000000004">
      <c r="Q164" s="5" t="str">
        <f t="shared" si="13"/>
        <v>|  |  |  |</v>
      </c>
    </row>
    <row r="165" spans="17:17" x14ac:dyDescent="0.55000000000000004">
      <c r="Q165" s="5" t="str">
        <f t="shared" si="13"/>
        <v>|  |  |  |</v>
      </c>
    </row>
    <row r="166" spans="17:17" x14ac:dyDescent="0.55000000000000004">
      <c r="Q166" s="5" t="str">
        <f t="shared" si="13"/>
        <v>|  |  |  |</v>
      </c>
    </row>
    <row r="167" spans="17:17" x14ac:dyDescent="0.55000000000000004">
      <c r="Q167" s="5" t="str">
        <f t="shared" si="13"/>
        <v>|  |  |  |</v>
      </c>
    </row>
    <row r="168" spans="17:17" x14ac:dyDescent="0.55000000000000004">
      <c r="Q168" s="5" t="str">
        <f t="shared" si="13"/>
        <v>|  |  |  |</v>
      </c>
    </row>
    <row r="169" spans="17:17" x14ac:dyDescent="0.55000000000000004">
      <c r="Q169" s="5" t="str">
        <f t="shared" si="13"/>
        <v>|  |  |  |</v>
      </c>
    </row>
    <row r="170" spans="17:17" x14ac:dyDescent="0.55000000000000004">
      <c r="Q170" s="5" t="str">
        <f t="shared" si="13"/>
        <v>|  |  |  |</v>
      </c>
    </row>
    <row r="171" spans="17:17" x14ac:dyDescent="0.55000000000000004">
      <c r="Q171" s="5" t="str">
        <f t="shared" si="13"/>
        <v>|  |  |  |</v>
      </c>
    </row>
    <row r="172" spans="17:17" x14ac:dyDescent="0.55000000000000004">
      <c r="Q172" s="5" t="str">
        <f t="shared" si="13"/>
        <v>|  |  |  |</v>
      </c>
    </row>
    <row r="173" spans="17:17" x14ac:dyDescent="0.55000000000000004">
      <c r="Q173" s="5" t="str">
        <f t="shared" si="13"/>
        <v>|  |  |  |</v>
      </c>
    </row>
    <row r="174" spans="17:17" x14ac:dyDescent="0.55000000000000004">
      <c r="Q174" s="5" t="str">
        <f t="shared" si="13"/>
        <v>|  |  |  |</v>
      </c>
    </row>
    <row r="175" spans="17:17" x14ac:dyDescent="0.55000000000000004">
      <c r="Q175" s="5" t="str">
        <f t="shared" si="13"/>
        <v>|  |  |  |</v>
      </c>
    </row>
    <row r="176" spans="17:17" x14ac:dyDescent="0.55000000000000004">
      <c r="Q176" s="5" t="str">
        <f t="shared" si="13"/>
        <v>|  |  |  |</v>
      </c>
    </row>
    <row r="177" spans="17:17" x14ac:dyDescent="0.55000000000000004">
      <c r="Q177" s="5" t="str">
        <f t="shared" si="13"/>
        <v>|  |  |  |</v>
      </c>
    </row>
    <row r="178" spans="17:17" x14ac:dyDescent="0.55000000000000004">
      <c r="Q178" s="5" t="str">
        <f t="shared" si="13"/>
        <v>|  |  |  |</v>
      </c>
    </row>
    <row r="179" spans="17:17" x14ac:dyDescent="0.55000000000000004">
      <c r="Q179" s="5" t="str">
        <f t="shared" si="13"/>
        <v>|  |  |  |</v>
      </c>
    </row>
    <row r="180" spans="17:17" x14ac:dyDescent="0.55000000000000004">
      <c r="Q180" s="5" t="str">
        <f t="shared" si="13"/>
        <v>|  |  |  |</v>
      </c>
    </row>
    <row r="181" spans="17:17" x14ac:dyDescent="0.55000000000000004">
      <c r="Q181" s="5" t="str">
        <f t="shared" si="13"/>
        <v>|  |  |  |</v>
      </c>
    </row>
    <row r="182" spans="17:17" x14ac:dyDescent="0.55000000000000004">
      <c r="Q182" s="5" t="str">
        <f t="shared" si="13"/>
        <v>|  |  |  |</v>
      </c>
    </row>
    <row r="183" spans="17:17" x14ac:dyDescent="0.55000000000000004">
      <c r="Q183" s="5" t="str">
        <f t="shared" si="13"/>
        <v>|  |  |  |</v>
      </c>
    </row>
    <row r="184" spans="17:17" x14ac:dyDescent="0.55000000000000004">
      <c r="Q184" s="5" t="str">
        <f t="shared" si="13"/>
        <v>|  |  |  |</v>
      </c>
    </row>
    <row r="185" spans="17:17" x14ac:dyDescent="0.55000000000000004">
      <c r="Q185" s="5" t="str">
        <f t="shared" si="13"/>
        <v>|  |  |  |</v>
      </c>
    </row>
    <row r="186" spans="17:17" x14ac:dyDescent="0.55000000000000004">
      <c r="Q186" s="5" t="str">
        <f t="shared" si="13"/>
        <v>|  |  |  |</v>
      </c>
    </row>
    <row r="187" spans="17:17" x14ac:dyDescent="0.55000000000000004">
      <c r="Q187" s="5" t="str">
        <f t="shared" si="13"/>
        <v>|  |  |  |</v>
      </c>
    </row>
    <row r="188" spans="17:17" x14ac:dyDescent="0.55000000000000004">
      <c r="Q188" s="5" t="str">
        <f t="shared" si="13"/>
        <v>|  |  |  |</v>
      </c>
    </row>
    <row r="189" spans="17:17" x14ac:dyDescent="0.55000000000000004">
      <c r="Q189" s="5" t="str">
        <f t="shared" si="13"/>
        <v>|  |  |  |</v>
      </c>
    </row>
    <row r="190" spans="17:17" x14ac:dyDescent="0.55000000000000004">
      <c r="Q190" s="5" t="str">
        <f t="shared" si="13"/>
        <v>|  |  |  |</v>
      </c>
    </row>
    <row r="191" spans="17:17" x14ac:dyDescent="0.55000000000000004">
      <c r="Q191" s="5" t="str">
        <f t="shared" si="13"/>
        <v>|  |  |  |</v>
      </c>
    </row>
    <row r="192" spans="17:17" x14ac:dyDescent="0.55000000000000004">
      <c r="Q192" s="5" t="str">
        <f t="shared" si="13"/>
        <v>|  |  |  |</v>
      </c>
    </row>
    <row r="193" spans="17:17" x14ac:dyDescent="0.55000000000000004">
      <c r="Q193" s="5" t="str">
        <f t="shared" si="13"/>
        <v>|  |  |  |</v>
      </c>
    </row>
    <row r="194" spans="17:17" x14ac:dyDescent="0.55000000000000004">
      <c r="Q194" s="5" t="str">
        <f t="shared" si="13"/>
        <v>|  |  |  |</v>
      </c>
    </row>
    <row r="195" spans="17:17" x14ac:dyDescent="0.55000000000000004">
      <c r="Q195" s="5" t="str">
        <f t="shared" si="13"/>
        <v>|  |  |  |</v>
      </c>
    </row>
    <row r="196" spans="17:17" x14ac:dyDescent="0.55000000000000004">
      <c r="Q196" s="5" t="str">
        <f t="shared" si="13"/>
        <v>|  |  |  |</v>
      </c>
    </row>
    <row r="197" spans="17:17" x14ac:dyDescent="0.55000000000000004">
      <c r="Q197" s="5" t="str">
        <f t="shared" ref="Q197:Q260" si="14">_xlfn.CONCAT("| ",B197," | ",C197," | ",D197," |")</f>
        <v>|  |  |  |</v>
      </c>
    </row>
    <row r="198" spans="17:17" x14ac:dyDescent="0.55000000000000004">
      <c r="Q198" s="5" t="str">
        <f t="shared" si="14"/>
        <v>|  |  |  |</v>
      </c>
    </row>
    <row r="199" spans="17:17" x14ac:dyDescent="0.55000000000000004">
      <c r="Q199" s="5" t="str">
        <f t="shared" si="14"/>
        <v>|  |  |  |</v>
      </c>
    </row>
    <row r="200" spans="17:17" x14ac:dyDescent="0.55000000000000004">
      <c r="Q200" s="5" t="str">
        <f t="shared" si="14"/>
        <v>|  |  |  |</v>
      </c>
    </row>
    <row r="201" spans="17:17" x14ac:dyDescent="0.55000000000000004">
      <c r="Q201" s="5" t="str">
        <f t="shared" si="14"/>
        <v>|  |  |  |</v>
      </c>
    </row>
    <row r="202" spans="17:17" x14ac:dyDescent="0.55000000000000004">
      <c r="Q202" s="5" t="str">
        <f t="shared" si="14"/>
        <v>|  |  |  |</v>
      </c>
    </row>
    <row r="203" spans="17:17" x14ac:dyDescent="0.55000000000000004">
      <c r="Q203" s="5" t="str">
        <f t="shared" si="14"/>
        <v>|  |  |  |</v>
      </c>
    </row>
    <row r="204" spans="17:17" x14ac:dyDescent="0.55000000000000004">
      <c r="Q204" s="5" t="str">
        <f t="shared" si="14"/>
        <v>|  |  |  |</v>
      </c>
    </row>
    <row r="205" spans="17:17" x14ac:dyDescent="0.55000000000000004">
      <c r="Q205" s="5" t="str">
        <f t="shared" si="14"/>
        <v>|  |  |  |</v>
      </c>
    </row>
    <row r="206" spans="17:17" x14ac:dyDescent="0.55000000000000004">
      <c r="Q206" s="5" t="str">
        <f t="shared" si="14"/>
        <v>|  |  |  |</v>
      </c>
    </row>
    <row r="207" spans="17:17" x14ac:dyDescent="0.55000000000000004">
      <c r="Q207" s="5" t="str">
        <f t="shared" si="14"/>
        <v>|  |  |  |</v>
      </c>
    </row>
    <row r="208" spans="17:17" x14ac:dyDescent="0.55000000000000004">
      <c r="Q208" s="5" t="str">
        <f t="shared" si="14"/>
        <v>|  |  |  |</v>
      </c>
    </row>
    <row r="209" spans="17:17" x14ac:dyDescent="0.55000000000000004">
      <c r="Q209" s="5" t="str">
        <f t="shared" si="14"/>
        <v>|  |  |  |</v>
      </c>
    </row>
    <row r="210" spans="17:17" x14ac:dyDescent="0.55000000000000004">
      <c r="Q210" s="5" t="str">
        <f t="shared" si="14"/>
        <v>|  |  |  |</v>
      </c>
    </row>
    <row r="211" spans="17:17" x14ac:dyDescent="0.55000000000000004">
      <c r="Q211" s="5" t="str">
        <f t="shared" si="14"/>
        <v>|  |  |  |</v>
      </c>
    </row>
    <row r="212" spans="17:17" x14ac:dyDescent="0.55000000000000004">
      <c r="Q212" s="5" t="str">
        <f t="shared" si="14"/>
        <v>|  |  |  |</v>
      </c>
    </row>
    <row r="213" spans="17:17" x14ac:dyDescent="0.55000000000000004">
      <c r="Q213" s="5" t="str">
        <f t="shared" si="14"/>
        <v>|  |  |  |</v>
      </c>
    </row>
    <row r="214" spans="17:17" x14ac:dyDescent="0.55000000000000004">
      <c r="Q214" s="5" t="str">
        <f t="shared" si="14"/>
        <v>|  |  |  |</v>
      </c>
    </row>
    <row r="215" spans="17:17" x14ac:dyDescent="0.55000000000000004">
      <c r="Q215" s="5" t="str">
        <f t="shared" si="14"/>
        <v>|  |  |  |</v>
      </c>
    </row>
    <row r="216" spans="17:17" x14ac:dyDescent="0.55000000000000004">
      <c r="Q216" s="5" t="str">
        <f t="shared" si="14"/>
        <v>|  |  |  |</v>
      </c>
    </row>
    <row r="217" spans="17:17" x14ac:dyDescent="0.55000000000000004">
      <c r="Q217" s="5" t="str">
        <f t="shared" si="14"/>
        <v>|  |  |  |</v>
      </c>
    </row>
    <row r="218" spans="17:17" x14ac:dyDescent="0.55000000000000004">
      <c r="Q218" s="5" t="str">
        <f t="shared" si="14"/>
        <v>|  |  |  |</v>
      </c>
    </row>
    <row r="219" spans="17:17" x14ac:dyDescent="0.55000000000000004">
      <c r="Q219" s="5" t="str">
        <f t="shared" si="14"/>
        <v>|  |  |  |</v>
      </c>
    </row>
    <row r="220" spans="17:17" x14ac:dyDescent="0.55000000000000004">
      <c r="Q220" s="5" t="str">
        <f t="shared" si="14"/>
        <v>|  |  |  |</v>
      </c>
    </row>
    <row r="221" spans="17:17" x14ac:dyDescent="0.55000000000000004">
      <c r="Q221" s="5" t="str">
        <f t="shared" si="14"/>
        <v>|  |  |  |</v>
      </c>
    </row>
    <row r="222" spans="17:17" x14ac:dyDescent="0.55000000000000004">
      <c r="Q222" s="5" t="str">
        <f t="shared" si="14"/>
        <v>|  |  |  |</v>
      </c>
    </row>
    <row r="223" spans="17:17" x14ac:dyDescent="0.55000000000000004">
      <c r="Q223" s="5" t="str">
        <f t="shared" si="14"/>
        <v>|  |  |  |</v>
      </c>
    </row>
    <row r="224" spans="17:17" x14ac:dyDescent="0.55000000000000004">
      <c r="Q224" s="5" t="str">
        <f t="shared" si="14"/>
        <v>|  |  |  |</v>
      </c>
    </row>
    <row r="225" spans="17:17" x14ac:dyDescent="0.55000000000000004">
      <c r="Q225" s="5" t="str">
        <f t="shared" si="14"/>
        <v>|  |  |  |</v>
      </c>
    </row>
    <row r="226" spans="17:17" x14ac:dyDescent="0.55000000000000004">
      <c r="Q226" s="5" t="str">
        <f t="shared" si="14"/>
        <v>|  |  |  |</v>
      </c>
    </row>
    <row r="227" spans="17:17" x14ac:dyDescent="0.55000000000000004">
      <c r="Q227" s="5" t="str">
        <f t="shared" si="14"/>
        <v>|  |  |  |</v>
      </c>
    </row>
    <row r="228" spans="17:17" x14ac:dyDescent="0.55000000000000004">
      <c r="Q228" s="5" t="str">
        <f t="shared" si="14"/>
        <v>|  |  |  |</v>
      </c>
    </row>
    <row r="229" spans="17:17" x14ac:dyDescent="0.55000000000000004">
      <c r="Q229" s="5" t="str">
        <f t="shared" si="14"/>
        <v>|  |  |  |</v>
      </c>
    </row>
    <row r="230" spans="17:17" x14ac:dyDescent="0.55000000000000004">
      <c r="Q230" s="5" t="str">
        <f t="shared" si="14"/>
        <v>|  |  |  |</v>
      </c>
    </row>
    <row r="231" spans="17:17" x14ac:dyDescent="0.55000000000000004">
      <c r="Q231" s="5" t="str">
        <f t="shared" si="14"/>
        <v>|  |  |  |</v>
      </c>
    </row>
    <row r="232" spans="17:17" x14ac:dyDescent="0.55000000000000004">
      <c r="Q232" s="5" t="str">
        <f t="shared" si="14"/>
        <v>|  |  |  |</v>
      </c>
    </row>
    <row r="233" spans="17:17" x14ac:dyDescent="0.55000000000000004">
      <c r="Q233" s="5" t="str">
        <f t="shared" si="14"/>
        <v>|  |  |  |</v>
      </c>
    </row>
    <row r="234" spans="17:17" x14ac:dyDescent="0.55000000000000004">
      <c r="Q234" s="5" t="str">
        <f t="shared" si="14"/>
        <v>|  |  |  |</v>
      </c>
    </row>
    <row r="235" spans="17:17" x14ac:dyDescent="0.55000000000000004">
      <c r="Q235" s="5" t="str">
        <f t="shared" si="14"/>
        <v>|  |  |  |</v>
      </c>
    </row>
    <row r="236" spans="17:17" x14ac:dyDescent="0.55000000000000004">
      <c r="Q236" s="5" t="str">
        <f t="shared" si="14"/>
        <v>|  |  |  |</v>
      </c>
    </row>
    <row r="237" spans="17:17" x14ac:dyDescent="0.55000000000000004">
      <c r="Q237" s="5" t="str">
        <f t="shared" si="14"/>
        <v>|  |  |  |</v>
      </c>
    </row>
    <row r="238" spans="17:17" x14ac:dyDescent="0.55000000000000004">
      <c r="Q238" s="5" t="str">
        <f t="shared" si="14"/>
        <v>|  |  |  |</v>
      </c>
    </row>
    <row r="239" spans="17:17" x14ac:dyDescent="0.55000000000000004">
      <c r="Q239" s="5" t="str">
        <f t="shared" si="14"/>
        <v>|  |  |  |</v>
      </c>
    </row>
    <row r="240" spans="17:17" x14ac:dyDescent="0.55000000000000004">
      <c r="Q240" s="5" t="str">
        <f t="shared" si="14"/>
        <v>|  |  |  |</v>
      </c>
    </row>
    <row r="241" spans="17:17" x14ac:dyDescent="0.55000000000000004">
      <c r="Q241" s="5" t="str">
        <f t="shared" si="14"/>
        <v>|  |  |  |</v>
      </c>
    </row>
    <row r="242" spans="17:17" x14ac:dyDescent="0.55000000000000004">
      <c r="Q242" s="5" t="str">
        <f t="shared" si="14"/>
        <v>|  |  |  |</v>
      </c>
    </row>
    <row r="243" spans="17:17" x14ac:dyDescent="0.55000000000000004">
      <c r="Q243" s="5" t="str">
        <f t="shared" si="14"/>
        <v>|  |  |  |</v>
      </c>
    </row>
    <row r="244" spans="17:17" x14ac:dyDescent="0.55000000000000004">
      <c r="Q244" s="5" t="str">
        <f t="shared" si="14"/>
        <v>|  |  |  |</v>
      </c>
    </row>
    <row r="245" spans="17:17" x14ac:dyDescent="0.55000000000000004">
      <c r="Q245" s="5" t="str">
        <f t="shared" si="14"/>
        <v>|  |  |  |</v>
      </c>
    </row>
    <row r="246" spans="17:17" x14ac:dyDescent="0.55000000000000004">
      <c r="Q246" s="5" t="str">
        <f t="shared" si="14"/>
        <v>|  |  |  |</v>
      </c>
    </row>
    <row r="247" spans="17:17" x14ac:dyDescent="0.55000000000000004">
      <c r="Q247" s="5" t="str">
        <f t="shared" si="14"/>
        <v>|  |  |  |</v>
      </c>
    </row>
    <row r="248" spans="17:17" x14ac:dyDescent="0.55000000000000004">
      <c r="Q248" s="5" t="str">
        <f t="shared" si="14"/>
        <v>|  |  |  |</v>
      </c>
    </row>
    <row r="249" spans="17:17" x14ac:dyDescent="0.55000000000000004">
      <c r="Q249" s="5" t="str">
        <f t="shared" si="14"/>
        <v>|  |  |  |</v>
      </c>
    </row>
    <row r="250" spans="17:17" x14ac:dyDescent="0.55000000000000004">
      <c r="Q250" s="5" t="str">
        <f t="shared" si="14"/>
        <v>|  |  |  |</v>
      </c>
    </row>
    <row r="251" spans="17:17" x14ac:dyDescent="0.55000000000000004">
      <c r="Q251" s="5" t="str">
        <f t="shared" si="14"/>
        <v>|  |  |  |</v>
      </c>
    </row>
    <row r="252" spans="17:17" x14ac:dyDescent="0.55000000000000004">
      <c r="Q252" s="5" t="str">
        <f t="shared" si="14"/>
        <v>|  |  |  |</v>
      </c>
    </row>
    <row r="253" spans="17:17" x14ac:dyDescent="0.55000000000000004">
      <c r="Q253" s="5" t="str">
        <f t="shared" si="14"/>
        <v>|  |  |  |</v>
      </c>
    </row>
    <row r="254" spans="17:17" x14ac:dyDescent="0.55000000000000004">
      <c r="Q254" s="5" t="str">
        <f t="shared" si="14"/>
        <v>|  |  |  |</v>
      </c>
    </row>
    <row r="255" spans="17:17" x14ac:dyDescent="0.55000000000000004">
      <c r="Q255" s="5" t="str">
        <f t="shared" si="14"/>
        <v>|  |  |  |</v>
      </c>
    </row>
    <row r="256" spans="17:17" x14ac:dyDescent="0.55000000000000004">
      <c r="Q256" s="5" t="str">
        <f t="shared" si="14"/>
        <v>|  |  |  |</v>
      </c>
    </row>
    <row r="257" spans="17:17" x14ac:dyDescent="0.55000000000000004">
      <c r="Q257" s="5" t="str">
        <f t="shared" si="14"/>
        <v>|  |  |  |</v>
      </c>
    </row>
    <row r="258" spans="17:17" x14ac:dyDescent="0.55000000000000004">
      <c r="Q258" s="5" t="str">
        <f t="shared" si="14"/>
        <v>|  |  |  |</v>
      </c>
    </row>
    <row r="259" spans="17:17" x14ac:dyDescent="0.55000000000000004">
      <c r="Q259" s="5" t="str">
        <f t="shared" si="14"/>
        <v>|  |  |  |</v>
      </c>
    </row>
    <row r="260" spans="17:17" x14ac:dyDescent="0.55000000000000004">
      <c r="Q260" s="5" t="str">
        <f t="shared" si="14"/>
        <v>|  |  |  |</v>
      </c>
    </row>
    <row r="261" spans="17:17" x14ac:dyDescent="0.55000000000000004">
      <c r="Q261" s="5" t="str">
        <f t="shared" ref="Q261:Q320" si="15">_xlfn.CONCAT("| ",B261," | ",C261," | ",D261," |")</f>
        <v>|  |  |  |</v>
      </c>
    </row>
    <row r="262" spans="17:17" x14ac:dyDescent="0.55000000000000004">
      <c r="Q262" s="5" t="str">
        <f t="shared" si="15"/>
        <v>|  |  |  |</v>
      </c>
    </row>
    <row r="263" spans="17:17" x14ac:dyDescent="0.55000000000000004">
      <c r="Q263" s="5" t="str">
        <f t="shared" si="15"/>
        <v>|  |  |  |</v>
      </c>
    </row>
    <row r="264" spans="17:17" x14ac:dyDescent="0.55000000000000004">
      <c r="Q264" s="5" t="str">
        <f t="shared" si="15"/>
        <v>|  |  |  |</v>
      </c>
    </row>
    <row r="265" spans="17:17" x14ac:dyDescent="0.55000000000000004">
      <c r="Q265" s="5" t="str">
        <f t="shared" si="15"/>
        <v>|  |  |  |</v>
      </c>
    </row>
    <row r="266" spans="17:17" x14ac:dyDescent="0.55000000000000004">
      <c r="Q266" s="5" t="str">
        <f t="shared" si="15"/>
        <v>|  |  |  |</v>
      </c>
    </row>
    <row r="267" spans="17:17" x14ac:dyDescent="0.55000000000000004">
      <c r="Q267" s="5" t="str">
        <f t="shared" si="15"/>
        <v>|  |  |  |</v>
      </c>
    </row>
    <row r="268" spans="17:17" x14ac:dyDescent="0.55000000000000004">
      <c r="Q268" s="5" t="str">
        <f t="shared" si="15"/>
        <v>|  |  |  |</v>
      </c>
    </row>
    <row r="269" spans="17:17" x14ac:dyDescent="0.55000000000000004">
      <c r="Q269" s="5" t="str">
        <f t="shared" si="15"/>
        <v>|  |  |  |</v>
      </c>
    </row>
    <row r="270" spans="17:17" x14ac:dyDescent="0.55000000000000004">
      <c r="Q270" s="5" t="str">
        <f t="shared" si="15"/>
        <v>|  |  |  |</v>
      </c>
    </row>
    <row r="271" spans="17:17" x14ac:dyDescent="0.55000000000000004">
      <c r="Q271" s="5" t="str">
        <f t="shared" si="15"/>
        <v>|  |  |  |</v>
      </c>
    </row>
    <row r="272" spans="17:17" x14ac:dyDescent="0.55000000000000004">
      <c r="Q272" s="5" t="str">
        <f t="shared" si="15"/>
        <v>|  |  |  |</v>
      </c>
    </row>
    <row r="273" spans="17:17" x14ac:dyDescent="0.55000000000000004">
      <c r="Q273" s="5" t="str">
        <f t="shared" si="15"/>
        <v>|  |  |  |</v>
      </c>
    </row>
    <row r="274" spans="17:17" x14ac:dyDescent="0.55000000000000004">
      <c r="Q274" s="5" t="str">
        <f t="shared" si="15"/>
        <v>|  |  |  |</v>
      </c>
    </row>
    <row r="275" spans="17:17" x14ac:dyDescent="0.55000000000000004">
      <c r="Q275" s="5" t="str">
        <f t="shared" si="15"/>
        <v>|  |  |  |</v>
      </c>
    </row>
    <row r="276" spans="17:17" x14ac:dyDescent="0.55000000000000004">
      <c r="Q276" s="5" t="str">
        <f t="shared" si="15"/>
        <v>|  |  |  |</v>
      </c>
    </row>
    <row r="277" spans="17:17" x14ac:dyDescent="0.55000000000000004">
      <c r="Q277" s="5" t="str">
        <f t="shared" si="15"/>
        <v>|  |  |  |</v>
      </c>
    </row>
    <row r="278" spans="17:17" x14ac:dyDescent="0.55000000000000004">
      <c r="Q278" s="5" t="str">
        <f t="shared" si="15"/>
        <v>|  |  |  |</v>
      </c>
    </row>
    <row r="279" spans="17:17" x14ac:dyDescent="0.55000000000000004">
      <c r="Q279" s="5" t="str">
        <f t="shared" si="15"/>
        <v>|  |  |  |</v>
      </c>
    </row>
    <row r="280" spans="17:17" x14ac:dyDescent="0.55000000000000004">
      <c r="Q280" s="5" t="str">
        <f t="shared" si="15"/>
        <v>|  |  |  |</v>
      </c>
    </row>
    <row r="281" spans="17:17" x14ac:dyDescent="0.55000000000000004">
      <c r="Q281" s="5" t="str">
        <f t="shared" si="15"/>
        <v>|  |  |  |</v>
      </c>
    </row>
    <row r="282" spans="17:17" x14ac:dyDescent="0.55000000000000004">
      <c r="Q282" s="5" t="str">
        <f t="shared" si="15"/>
        <v>|  |  |  |</v>
      </c>
    </row>
    <row r="283" spans="17:17" x14ac:dyDescent="0.55000000000000004">
      <c r="Q283" s="5" t="str">
        <f t="shared" si="15"/>
        <v>|  |  |  |</v>
      </c>
    </row>
    <row r="284" spans="17:17" x14ac:dyDescent="0.55000000000000004">
      <c r="Q284" s="5" t="str">
        <f t="shared" si="15"/>
        <v>|  |  |  |</v>
      </c>
    </row>
    <row r="285" spans="17:17" x14ac:dyDescent="0.55000000000000004">
      <c r="Q285" s="5" t="str">
        <f t="shared" si="15"/>
        <v>|  |  |  |</v>
      </c>
    </row>
    <row r="286" spans="17:17" x14ac:dyDescent="0.55000000000000004">
      <c r="Q286" s="5" t="str">
        <f t="shared" si="15"/>
        <v>|  |  |  |</v>
      </c>
    </row>
    <row r="287" spans="17:17" x14ac:dyDescent="0.55000000000000004">
      <c r="Q287" s="5" t="str">
        <f t="shared" si="15"/>
        <v>|  |  |  |</v>
      </c>
    </row>
    <row r="288" spans="17:17" x14ac:dyDescent="0.55000000000000004">
      <c r="Q288" s="5" t="str">
        <f t="shared" si="15"/>
        <v>|  |  |  |</v>
      </c>
    </row>
    <row r="289" spans="17:17" x14ac:dyDescent="0.55000000000000004">
      <c r="Q289" s="5" t="str">
        <f t="shared" si="15"/>
        <v>|  |  |  |</v>
      </c>
    </row>
    <row r="290" spans="17:17" x14ac:dyDescent="0.55000000000000004">
      <c r="Q290" s="5" t="str">
        <f t="shared" si="15"/>
        <v>|  |  |  |</v>
      </c>
    </row>
    <row r="291" spans="17:17" x14ac:dyDescent="0.55000000000000004">
      <c r="Q291" s="5" t="str">
        <f t="shared" si="15"/>
        <v>|  |  |  |</v>
      </c>
    </row>
    <row r="292" spans="17:17" x14ac:dyDescent="0.55000000000000004">
      <c r="Q292" s="5" t="str">
        <f t="shared" si="15"/>
        <v>|  |  |  |</v>
      </c>
    </row>
    <row r="293" spans="17:17" x14ac:dyDescent="0.55000000000000004">
      <c r="Q293" s="5" t="str">
        <f t="shared" si="15"/>
        <v>|  |  |  |</v>
      </c>
    </row>
    <row r="294" spans="17:17" x14ac:dyDescent="0.55000000000000004">
      <c r="Q294" s="5" t="str">
        <f t="shared" si="15"/>
        <v>|  |  |  |</v>
      </c>
    </row>
    <row r="295" spans="17:17" x14ac:dyDescent="0.55000000000000004">
      <c r="Q295" s="5" t="str">
        <f t="shared" si="15"/>
        <v>|  |  |  |</v>
      </c>
    </row>
    <row r="296" spans="17:17" x14ac:dyDescent="0.55000000000000004">
      <c r="Q296" s="5" t="str">
        <f t="shared" si="15"/>
        <v>|  |  |  |</v>
      </c>
    </row>
    <row r="297" spans="17:17" x14ac:dyDescent="0.55000000000000004">
      <c r="Q297" s="5" t="str">
        <f t="shared" si="15"/>
        <v>|  |  |  |</v>
      </c>
    </row>
    <row r="298" spans="17:17" x14ac:dyDescent="0.55000000000000004">
      <c r="Q298" s="5" t="str">
        <f t="shared" si="15"/>
        <v>|  |  |  |</v>
      </c>
    </row>
    <row r="299" spans="17:17" x14ac:dyDescent="0.55000000000000004">
      <c r="Q299" s="5" t="str">
        <f t="shared" si="15"/>
        <v>|  |  |  |</v>
      </c>
    </row>
    <row r="300" spans="17:17" x14ac:dyDescent="0.55000000000000004">
      <c r="Q300" s="5" t="str">
        <f t="shared" si="15"/>
        <v>|  |  |  |</v>
      </c>
    </row>
    <row r="301" spans="17:17" x14ac:dyDescent="0.55000000000000004">
      <c r="Q301" s="5" t="str">
        <f t="shared" si="15"/>
        <v>|  |  |  |</v>
      </c>
    </row>
    <row r="302" spans="17:17" x14ac:dyDescent="0.55000000000000004">
      <c r="Q302" s="5" t="str">
        <f t="shared" si="15"/>
        <v>|  |  |  |</v>
      </c>
    </row>
    <row r="303" spans="17:17" x14ac:dyDescent="0.55000000000000004">
      <c r="Q303" s="5" t="str">
        <f t="shared" si="15"/>
        <v>|  |  |  |</v>
      </c>
    </row>
    <row r="304" spans="17:17" x14ac:dyDescent="0.55000000000000004">
      <c r="Q304" s="5" t="str">
        <f t="shared" si="15"/>
        <v>|  |  |  |</v>
      </c>
    </row>
    <row r="305" spans="17:17" x14ac:dyDescent="0.55000000000000004">
      <c r="Q305" s="5" t="str">
        <f t="shared" si="15"/>
        <v>|  |  |  |</v>
      </c>
    </row>
    <row r="306" spans="17:17" x14ac:dyDescent="0.55000000000000004">
      <c r="Q306" s="5" t="str">
        <f t="shared" si="15"/>
        <v>|  |  |  |</v>
      </c>
    </row>
    <row r="307" spans="17:17" x14ac:dyDescent="0.55000000000000004">
      <c r="Q307" s="5" t="str">
        <f t="shared" si="15"/>
        <v>|  |  |  |</v>
      </c>
    </row>
    <row r="308" spans="17:17" x14ac:dyDescent="0.55000000000000004">
      <c r="Q308" s="5" t="str">
        <f t="shared" si="15"/>
        <v>|  |  |  |</v>
      </c>
    </row>
    <row r="309" spans="17:17" x14ac:dyDescent="0.55000000000000004">
      <c r="Q309" s="5" t="str">
        <f t="shared" si="15"/>
        <v>|  |  |  |</v>
      </c>
    </row>
    <row r="310" spans="17:17" x14ac:dyDescent="0.55000000000000004">
      <c r="Q310" s="5" t="str">
        <f t="shared" si="15"/>
        <v>|  |  |  |</v>
      </c>
    </row>
    <row r="311" spans="17:17" x14ac:dyDescent="0.55000000000000004">
      <c r="Q311" s="5" t="str">
        <f t="shared" si="15"/>
        <v>|  |  |  |</v>
      </c>
    </row>
    <row r="312" spans="17:17" x14ac:dyDescent="0.55000000000000004">
      <c r="Q312" s="5" t="str">
        <f t="shared" si="15"/>
        <v>|  |  |  |</v>
      </c>
    </row>
    <row r="313" spans="17:17" x14ac:dyDescent="0.55000000000000004">
      <c r="Q313" s="5" t="str">
        <f t="shared" si="15"/>
        <v>|  |  |  |</v>
      </c>
    </row>
    <row r="314" spans="17:17" x14ac:dyDescent="0.55000000000000004">
      <c r="Q314" s="5" t="str">
        <f t="shared" si="15"/>
        <v>|  |  |  |</v>
      </c>
    </row>
    <row r="315" spans="17:17" x14ac:dyDescent="0.55000000000000004">
      <c r="Q315" s="5" t="str">
        <f t="shared" si="15"/>
        <v>|  |  |  |</v>
      </c>
    </row>
    <row r="316" spans="17:17" x14ac:dyDescent="0.55000000000000004">
      <c r="Q316" s="5" t="str">
        <f t="shared" si="15"/>
        <v>|  |  |  |</v>
      </c>
    </row>
    <row r="317" spans="17:17" x14ac:dyDescent="0.55000000000000004">
      <c r="Q317" s="5" t="str">
        <f t="shared" si="15"/>
        <v>|  |  |  |</v>
      </c>
    </row>
    <row r="318" spans="17:17" x14ac:dyDescent="0.55000000000000004">
      <c r="Q318" s="5" t="str">
        <f t="shared" si="15"/>
        <v>|  |  |  |</v>
      </c>
    </row>
    <row r="319" spans="17:17" x14ac:dyDescent="0.55000000000000004">
      <c r="Q319" s="5" t="str">
        <f t="shared" si="15"/>
        <v>|  |  |  |</v>
      </c>
    </row>
    <row r="320" spans="17:17" x14ac:dyDescent="0.55000000000000004">
      <c r="Q320" s="5" t="str">
        <f t="shared" si="15"/>
        <v>|  |  |  |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Sample</vt:lpstr>
      <vt:lpstr>LayerDAPC</vt:lpstr>
      <vt:lpstr>LayerDAPC!_Toc107986980</vt:lpstr>
      <vt:lpstr>Sample!_Toc107986980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[ R ]</dc:creator>
  <cp:lastModifiedBy>WILLIAM RICARDO AGUILAR PIÑA</cp:lastModifiedBy>
  <dcterms:created xsi:type="dcterms:W3CDTF">2021-12-14T17:59:01Z</dcterms:created>
  <dcterms:modified xsi:type="dcterms:W3CDTF">2026-02-12T22:33:32Z</dcterms:modified>
</cp:coreProperties>
</file>